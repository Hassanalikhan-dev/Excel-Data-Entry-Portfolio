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Corei5\Downloads\"/>
    </mc:Choice>
  </mc:AlternateContent>
  <xr:revisionPtr revIDLastSave="0" documentId="13_ncr:1_{9F26783D-67FD-4DCE-991A-56580F99B49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aw Data" sheetId="2" r:id="rId1"/>
    <sheet name="Clean Entry" sheetId="3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3" l="1"/>
  <c r="C20" i="3"/>
  <c r="I3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C21" i="3" l="1"/>
</calcChain>
</file>

<file path=xl/sharedStrings.xml><?xml version="1.0" encoding="utf-8"?>
<sst xmlns="http://schemas.openxmlformats.org/spreadsheetml/2006/main" count="76" uniqueCount="76">
  <si>
    <t>Raw Invoice Notes (messy — as received from client)</t>
  </si>
  <si>
    <t>#</t>
  </si>
  <si>
    <t>Raw Note (copy details into Clean Entry sheet)</t>
  </si>
  <si>
    <t>Inv# INV-1001, dated 3/1/26 - Ahmed Traders bought 12 units of Office Chairs @ 4500 each, GST 17%</t>
  </si>
  <si>
    <t>invoice no INV1002 -- Client: Beta Textiles Ltd || date: 04 Jan 2026 || 5 pcs Sewing Machine, unit price Rs.32000, tax 5%</t>
  </si>
  <si>
    <t>INV-1003 / Client Zainab Furniture / 2026-01-05 / Item: Wooden Table x3 / Price 15000 / Tax 0%</t>
  </si>
  <si>
    <t>Invoice#1004, Client- Crescent Foods, Date- Jan 6 2026, Product: Rice Bags (50kg) Qty:20 Rate:6200 Tax%:10</t>
  </si>
  <si>
    <t>INV1005 | 07-01-26 | Client: Al-Noor Electronics | LED Bulbs qty 100 @ 150 rs | tax 17 percent</t>
  </si>
  <si>
    <t>Inv no INV-1006 -- 8th January 2026 -- Client name: Sana Cosmetics -- 15 x Skincare Kits @ Rs 2800 -- Tax 5%</t>
  </si>
  <si>
    <t>invoice: INV1007 client Faisal Hardware date 09/01/2026 item Steel Rods quantity 40 unit price 950 tax 17%</t>
  </si>
  <si>
    <t>INV-1008, Client - Mehran Bakers, 10 Jan 26, Flour Bags qty 25 price 3200 each, no tax</t>
  </si>
  <si>
    <t>Inv#1009 / Date 11-Jan-2026 / Client: Noor Textiles / Cotton Rolls x6 / unit 8000 / tax 5 pct</t>
  </si>
  <si>
    <t>invoice number INV1010 -- client Green Valley Farms -- dated 12/1/26 -- Fertilizer Bags 30 units @ 1800 -- GST 10%</t>
  </si>
  <si>
    <t>INV-1011, Client: City Motors, 13th Jan 2026, item Spare Parts Kit, qty 6, rate 12500, tax17%</t>
  </si>
  <si>
    <t>Inv 1012 | client - Rizwan Traders | date: 14-01-2026 | Packaging Boxes qty 200 @ 85 rs each | tax 5%</t>
  </si>
  <si>
    <t>invoice# INV1013 dated Jan 15 26 client Al-Madina Clothing product Winter Jackets qty 18 price 4500 tax 17 percent</t>
  </si>
  <si>
    <t>INV-1014 - client Hina Crafts - 16/1/2026 - Handmade Bags x10 - unit price 2200 - tax 0%</t>
  </si>
  <si>
    <t>Inv no. 1015 || Date: 17-Jan-26 || Client: Shah Auto Parts || Item: Brake Pads (set) || Qty 35 || Rate 1450 || Tax 17%</t>
  </si>
  <si>
    <t>Clean Invoice Data Entry</t>
  </si>
  <si>
    <t>Invoice No.</t>
  </si>
  <si>
    <t>Date</t>
  </si>
  <si>
    <t>Client Name</t>
  </si>
  <si>
    <t>Item / Service</t>
  </si>
  <si>
    <t>Quantity</t>
  </si>
  <si>
    <t>Unit Price (Rs)</t>
  </si>
  <si>
    <t>Tax %</t>
  </si>
  <si>
    <t>Total (Rs)</t>
  </si>
  <si>
    <t>INV-1001</t>
  </si>
  <si>
    <t>Ahmed Traders</t>
  </si>
  <si>
    <t>Office Chairs</t>
  </si>
  <si>
    <t>Summary</t>
  </si>
  <si>
    <t>Total Invoices Entered:</t>
  </si>
  <si>
    <t>Grand Total (Rs):</t>
  </si>
  <si>
    <t>Average Invoice Value (Rs):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</si>
  <si>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</si>
  <si>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</si>
  <si>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</si>
  <si>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</si>
  <si>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</si>
  <si>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</si>
  <si>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</si>
  <si>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</si>
  <si>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</si>
  <si>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</si>
  <si>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</si>
  <si>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</si>
  <si>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</si>
  <si>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</si>
  <si>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Beta Textiles Ltd</t>
  </si>
  <si>
    <t>Zainab Furniture</t>
  </si>
  <si>
    <t>Crescent Foods</t>
  </si>
  <si>
    <t>Al-Noor Electronics</t>
  </si>
  <si>
    <t>Sana Cosmetics</t>
  </si>
  <si>
    <t>Faisal Hardware</t>
  </si>
  <si>
    <t>Mehran Bakers</t>
  </si>
  <si>
    <t>Noor Textiles</t>
  </si>
  <si>
    <t>Green Valley Farms</t>
  </si>
  <si>
    <t>City Motors</t>
  </si>
  <si>
    <t>Rizwan Traders</t>
  </si>
  <si>
    <t>Al-Madina Clothing</t>
  </si>
  <si>
    <t>Hina Crafts</t>
  </si>
  <si>
    <t>Shah Auto Parts</t>
  </si>
  <si>
    <t>Sewing Machine</t>
  </si>
  <si>
    <t>Wooden Table</t>
  </si>
  <si>
    <t xml:space="preserve">Rice Bags </t>
  </si>
  <si>
    <t>LED Bulbs</t>
  </si>
  <si>
    <t>Skincare Kits</t>
  </si>
  <si>
    <t>Steel Rods</t>
  </si>
  <si>
    <t>Flour Bags</t>
  </si>
  <si>
    <t>Cotton Rolls</t>
  </si>
  <si>
    <t>Fertilizer Bags</t>
  </si>
  <si>
    <t>Spare Parts Kit</t>
  </si>
  <si>
    <t>Packaging Boxes</t>
  </si>
  <si>
    <t>Winter Jackets</t>
  </si>
  <si>
    <t>Handmade Bags</t>
  </si>
  <si>
    <t>Brake Pads (set)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</si>
</sst>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3" fontId="2" fillId="0" borderId="0" xfId="0" applyNumberFormat="1" applyFont="1"/>
    <xf numFmtId="3" fontId="3" fillId="0" borderId="0" xfId="0" applyNumberFormat="1" applyFont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topLeftCell="A3" zoomScale="85" zoomScaleNormal="85" workbookViewId="0">
      <selection activeCell="B6" sqref="B6"/>
    </sheetView>
  </sheetViews>
  <sheetFormatPr defaultColWidth="8.6640625" defaultRowHeight="14.4" x14ac:dyDescent="0.3"/>
  <cols>
    <col min="1" max="1" width="6" customWidth="1"/>
    <col min="2" max="2" width="110" customWidth="1"/>
  </cols>
  <sheetData>
    <row r="1" spans="1:2" ht="17.399999999999999" x14ac:dyDescent="0.3">
      <c r="A1" s="1" t="s">
        <v>0</v>
      </c>
      <c r="B1" s="1"/>
    </row>
    <row r="3" spans="1:2" ht="19.5" customHeight="1" x14ac:dyDescent="0.3">
      <c r="A3" s="4" t="s">
        <v>1</v>
      </c>
      <c r="B3" s="4" t="s">
        <v>2</v>
      </c>
    </row>
    <row r="4" spans="1:2" ht="30" customHeight="1" x14ac:dyDescent="0.3">
      <c r="A4" s="5">
        <v>1</v>
      </c>
      <c r="B4" s="6" t="s">
        <v>3</v>
      </c>
    </row>
    <row r="5" spans="1:2" ht="30" customHeight="1" x14ac:dyDescent="0.3">
      <c r="A5" s="5">
        <v>2</v>
      </c>
      <c r="B5" s="6" t="s">
        <v>4</v>
      </c>
    </row>
    <row r="6" spans="1:2" ht="30" customHeight="1" x14ac:dyDescent="0.3">
      <c r="A6" s="5">
        <v>3</v>
      </c>
      <c r="B6" s="6" t="s">
        <v>5</v>
      </c>
    </row>
    <row r="7" spans="1:2" ht="30" customHeight="1" x14ac:dyDescent="0.3">
      <c r="A7" s="5">
        <v>4</v>
      </c>
      <c r="B7" s="6" t="s">
        <v>6</v>
      </c>
    </row>
    <row r="8" spans="1:2" ht="30" customHeight="1" x14ac:dyDescent="0.3">
      <c r="A8" s="5">
        <v>5</v>
      </c>
      <c r="B8" s="6" t="s">
        <v>7</v>
      </c>
    </row>
    <row r="9" spans="1:2" ht="30" customHeight="1" x14ac:dyDescent="0.3">
      <c r="A9" s="5">
        <v>6</v>
      </c>
      <c r="B9" s="6" t="s">
        <v>8</v>
      </c>
    </row>
    <row r="10" spans="1:2" ht="30" customHeight="1" x14ac:dyDescent="0.3">
      <c r="A10" s="5">
        <v>7</v>
      </c>
      <c r="B10" s="6" t="s">
        <v>9</v>
      </c>
    </row>
    <row r="11" spans="1:2" ht="30" customHeight="1" x14ac:dyDescent="0.3">
      <c r="A11" s="5">
        <v>8</v>
      </c>
      <c r="B11" s="6" t="s">
        <v>10</v>
      </c>
    </row>
    <row r="12" spans="1:2" ht="30" customHeight="1" x14ac:dyDescent="0.3">
      <c r="A12" s="5">
        <v>9</v>
      </c>
      <c r="B12" s="6" t="s">
        <v>11</v>
      </c>
    </row>
    <row r="13" spans="1:2" ht="30" customHeight="1" x14ac:dyDescent="0.3">
      <c r="A13" s="5">
        <v>10</v>
      </c>
      <c r="B13" s="6" t="s">
        <v>12</v>
      </c>
    </row>
    <row r="14" spans="1:2" ht="30" customHeight="1" x14ac:dyDescent="0.3">
      <c r="A14" s="5">
        <v>11</v>
      </c>
      <c r="B14" s="6" t="s">
        <v>13</v>
      </c>
    </row>
    <row r="15" spans="1:2" ht="30" customHeight="1" x14ac:dyDescent="0.3">
      <c r="A15" s="5">
        <v>12</v>
      </c>
      <c r="B15" s="6" t="s">
        <v>14</v>
      </c>
    </row>
    <row r="16" spans="1:2" ht="30" customHeight="1" x14ac:dyDescent="0.3">
      <c r="A16" s="5">
        <v>13</v>
      </c>
      <c r="B16" s="6" t="s">
        <v>15</v>
      </c>
    </row>
    <row r="17" spans="1:2" ht="30" customHeight="1" x14ac:dyDescent="0.3">
      <c r="A17" s="5">
        <v>14</v>
      </c>
      <c r="B17" s="6" t="s">
        <v>16</v>
      </c>
    </row>
    <row r="18" spans="1:2" ht="30" customHeight="1" x14ac:dyDescent="0.3">
      <c r="A18" s="5">
        <v>15</v>
      </c>
      <c r="B18" s="6" t="s">
        <v>17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topLeftCell="A2" zoomScale="115" zoomScaleNormal="115" workbookViewId="0">
      <selection activeCell="C23" sqref="C23"/>
    </sheetView>
  </sheetViews>
  <sheetFormatPr defaultColWidth="8.6640625" defaultRowHeight="14.4" x14ac:dyDescent="0.3"/>
  <cols>
    <col min="1" max="1" width="14.6640625" customWidth="1"/>
    <col min="2" max="2" width="13" customWidth="1"/>
    <col min="3" max="3" width="14" customWidth="1"/>
    <col min="4" max="4" width="20.109375" customWidth="1"/>
    <col min="5" max="5" width="20" customWidth="1"/>
    <col min="6" max="6" width="10" customWidth="1"/>
    <col min="7" max="7" width="15" customWidth="1"/>
    <col min="8" max="8" width="8" customWidth="1"/>
    <col min="9" max="9" width="15" customWidth="1"/>
  </cols>
  <sheetData>
    <row r="1" spans="1:9" ht="17.399999999999999" x14ac:dyDescent="0.3">
      <c r="A1" s="1" t="s">
        <v>18</v>
      </c>
      <c r="B1" s="1"/>
      <c r="C1" s="1"/>
      <c r="D1" s="1"/>
      <c r="E1" s="1"/>
      <c r="F1" s="1"/>
      <c r="G1" s="1"/>
      <c r="H1" s="1"/>
      <c r="I1" s="1"/>
    </row>
    <row r="2" spans="1:9" ht="27.75" customHeight="1" x14ac:dyDescent="0.3"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</row>
    <row r="3" spans="1:9" x14ac:dyDescent="0.3">
      <c r="B3" s="15" t="s">
        <v>27</v>
      </c>
      <c r="C3" s="11">
        <v>46025</v>
      </c>
      <c r="D3" s="5" t="s">
        <v>28</v>
      </c>
      <c r="E3" s="5" t="s">
        <v>29</v>
      </c>
      <c r="F3" s="12">
        <v>12</v>
      </c>
      <c r="G3" s="12">
        <v>4500</v>
      </c>
      <c r="H3" s="12">
        <v>0.17</v>
      </c>
      <c r="I3" s="12">
        <f>F3*G3*(1+H3)</f>
        <v>63179.999999999993</v>
      </c>
    </row>
    <row r="4" spans="1:9" x14ac:dyDescent="0.3">
      <c r="B4" s="15" t="s">
        <v>34</v>
      </c>
      <c r="C4" s="11">
        <v>46026</v>
      </c>
      <c r="D4" s="5" t="s">
        <v>48</v>
      </c>
      <c r="E4" s="5" t="s">
        <v>62</v>
      </c>
      <c r="F4" s="12">
        <v>5</v>
      </c>
      <c r="G4" s="13">
        <v>32000</v>
      </c>
      <c r="H4" s="14">
        <v>0.05</v>
      </c>
      <c r="I4" s="13">
        <f t="shared" ref="I4:I17" si="0">F4*G4*(1+H4)</f>
        <v>168000</v>
      </c>
    </row>
    <row r="5" spans="1:9" x14ac:dyDescent="0.3">
      <c r="B5" s="15" t="s">
        <v>35</v>
      </c>
      <c r="C5" s="11">
        <v>46027</v>
      </c>
      <c r="D5" s="5" t="s">
        <v>49</v>
      </c>
      <c r="E5" s="5" t="s">
        <v>63</v>
      </c>
      <c r="F5" s="12">
        <v>3</v>
      </c>
      <c r="G5" s="13">
        <v>15000</v>
      </c>
      <c r="H5" s="14"/>
      <c r="I5" s="13">
        <f t="shared" si="0"/>
        <v>45000</v>
      </c>
    </row>
    <row r="6" spans="1:9" x14ac:dyDescent="0.3">
      <c r="B6" s="15" t="s">
        <v>36</v>
      </c>
      <c r="C6" s="11">
        <v>46028</v>
      </c>
      <c r="D6" s="5" t="s">
        <v>50</v>
      </c>
      <c r="E6" s="5" t="s">
        <v>64</v>
      </c>
      <c r="F6" s="12">
        <v>20</v>
      </c>
      <c r="G6" s="13">
        <v>6200</v>
      </c>
      <c r="H6" s="14">
        <v>0.1</v>
      </c>
      <c r="I6" s="13">
        <f t="shared" si="0"/>
        <v>136400</v>
      </c>
    </row>
    <row r="7" spans="1:9" x14ac:dyDescent="0.3">
      <c r="B7" s="15" t="s">
        <v>37</v>
      </c>
      <c r="C7" s="11">
        <v>46029</v>
      </c>
      <c r="D7" s="5" t="s">
        <v>51</v>
      </c>
      <c r="E7" s="5" t="s">
        <v>65</v>
      </c>
      <c r="F7" s="12">
        <v>100</v>
      </c>
      <c r="G7" s="13">
        <v>150</v>
      </c>
      <c r="H7" s="14">
        <v>0.17</v>
      </c>
      <c r="I7" s="13">
        <f t="shared" si="0"/>
        <v>17550</v>
      </c>
    </row>
    <row r="8" spans="1:9" x14ac:dyDescent="0.3">
      <c r="B8" s="15" t="s">
        <v>38</v>
      </c>
      <c r="C8" s="11">
        <v>46030</v>
      </c>
      <c r="D8" s="5" t="s">
        <v>52</v>
      </c>
      <c r="E8" s="5" t="s">
        <v>66</v>
      </c>
      <c r="F8" s="12">
        <v>15</v>
      </c>
      <c r="G8" s="13">
        <v>2800</v>
      </c>
      <c r="H8" s="14">
        <v>0.05</v>
      </c>
      <c r="I8" s="13">
        <f t="shared" si="0"/>
        <v>44100</v>
      </c>
    </row>
    <row r="9" spans="1:9" x14ac:dyDescent="0.3">
      <c r="B9" s="15" t="s">
        <v>39</v>
      </c>
      <c r="C9" s="11">
        <v>46031</v>
      </c>
      <c r="D9" s="5" t="s">
        <v>53</v>
      </c>
      <c r="E9" s="5" t="s">
        <v>67</v>
      </c>
      <c r="F9" s="12">
        <v>40</v>
      </c>
      <c r="G9" s="13">
        <v>950</v>
      </c>
      <c r="H9" s="14">
        <v>0.17</v>
      </c>
      <c r="I9" s="13">
        <f t="shared" si="0"/>
        <v>44460</v>
      </c>
    </row>
    <row r="10" spans="1:9" x14ac:dyDescent="0.3">
      <c r="B10" s="15" t="s">
        <v>40</v>
      </c>
      <c r="C10" s="11">
        <v>46032</v>
      </c>
      <c r="D10" s="5" t="s">
        <v>54</v>
      </c>
      <c r="E10" s="5" t="s">
        <v>68</v>
      </c>
      <c r="F10" s="12">
        <v>25</v>
      </c>
      <c r="G10" s="13">
        <v>3200</v>
      </c>
      <c r="H10" s="14"/>
      <c r="I10" s="13">
        <f t="shared" si="0"/>
        <v>80000</v>
      </c>
    </row>
    <row r="11" spans="1:9" x14ac:dyDescent="0.3">
      <c r="B11" s="15" t="s">
        <v>41</v>
      </c>
      <c r="C11" s="11">
        <v>46033</v>
      </c>
      <c r="D11" s="5" t="s">
        <v>55</v>
      </c>
      <c r="E11" s="5" t="s">
        <v>69</v>
      </c>
      <c r="F11" s="12">
        <v>6</v>
      </c>
      <c r="G11" s="13">
        <v>8000</v>
      </c>
      <c r="H11" s="14">
        <v>0.05</v>
      </c>
      <c r="I11" s="13">
        <f t="shared" si="0"/>
        <v>50400</v>
      </c>
    </row>
    <row r="12" spans="1:9" x14ac:dyDescent="0.3">
      <c r="B12" s="15" t="s">
        <v>42</v>
      </c>
      <c r="C12" s="11">
        <v>46034</v>
      </c>
      <c r="D12" s="5" t="s">
        <v>56</v>
      </c>
      <c r="E12" s="5" t="s">
        <v>70</v>
      </c>
      <c r="F12" s="12">
        <v>30</v>
      </c>
      <c r="G12" s="13">
        <v>1800</v>
      </c>
      <c r="H12" s="14">
        <v>0.1</v>
      </c>
      <c r="I12" s="13">
        <f t="shared" si="0"/>
        <v>59400.000000000007</v>
      </c>
    </row>
    <row r="13" spans="1:9" x14ac:dyDescent="0.3">
      <c r="B13" s="15" t="s">
        <v>43</v>
      </c>
      <c r="C13" s="11">
        <v>46035</v>
      </c>
      <c r="D13" s="5" t="s">
        <v>57</v>
      </c>
      <c r="E13" s="5" t="s">
        <v>71</v>
      </c>
      <c r="F13" s="12">
        <v>6</v>
      </c>
      <c r="G13" s="13">
        <v>12500</v>
      </c>
      <c r="H13" s="14">
        <v>0.17</v>
      </c>
      <c r="I13" s="13">
        <f t="shared" si="0"/>
        <v>87750</v>
      </c>
    </row>
    <row r="14" spans="1:9" x14ac:dyDescent="0.3">
      <c r="B14" s="15" t="s">
        <v>44</v>
      </c>
      <c r="C14" s="11">
        <v>46036</v>
      </c>
      <c r="D14" s="5" t="s">
        <v>58</v>
      </c>
      <c r="E14" s="5" t="s">
        <v>72</v>
      </c>
      <c r="F14" s="12">
        <v>200</v>
      </c>
      <c r="G14" s="13">
        <v>85</v>
      </c>
      <c r="H14" s="14">
        <v>0.05</v>
      </c>
      <c r="I14" s="13">
        <f t="shared" si="0"/>
        <v>17850</v>
      </c>
    </row>
    <row r="15" spans="1:9" x14ac:dyDescent="0.3">
      <c r="B15" s="15" t="s">
        <v>45</v>
      </c>
      <c r="C15" s="11">
        <v>46037</v>
      </c>
      <c r="D15" s="5" t="s">
        <v>59</v>
      </c>
      <c r="E15" s="5" t="s">
        <v>73</v>
      </c>
      <c r="F15" s="12">
        <v>18</v>
      </c>
      <c r="G15" s="13">
        <v>4500</v>
      </c>
      <c r="H15" s="14">
        <v>0.17</v>
      </c>
      <c r="I15" s="13">
        <f t="shared" si="0"/>
        <v>94770</v>
      </c>
    </row>
    <row r="16" spans="1:9" x14ac:dyDescent="0.3">
      <c r="B16" s="15" t="s">
        <v>46</v>
      </c>
      <c r="C16" s="11">
        <v>46038</v>
      </c>
      <c r="D16" s="5" t="s">
        <v>60</v>
      </c>
      <c r="E16" s="5" t="s">
        <v>74</v>
      </c>
      <c r="F16" s="12">
        <v>10</v>
      </c>
      <c r="G16" s="13">
        <v>2200</v>
      </c>
      <c r="H16" s="14"/>
      <c r="I16" s="13">
        <f t="shared" si="0"/>
        <v>22000</v>
      </c>
    </row>
    <row r="17" spans="1:9" x14ac:dyDescent="0.3">
      <c r="B17" s="15" t="s">
        <v>47</v>
      </c>
      <c r="C17" s="11">
        <v>46039</v>
      </c>
      <c r="D17" s="5" t="s">
        <v>61</v>
      </c>
      <c r="E17" s="5" t="s">
        <v>75</v>
      </c>
      <c r="F17" s="12">
        <v>35</v>
      </c>
      <c r="G17" s="13">
        <v>1450</v>
      </c>
      <c r="H17" s="14">
        <v>0.17</v>
      </c>
      <c r="I17" s="13">
        <f t="shared" si="0"/>
        <v>59377.5</v>
      </c>
    </row>
    <row r="19" spans="1:9" ht="15.6" customHeight="1" x14ac:dyDescent="0.3">
      <c r="A19" s="8" t="s">
        <v>30</v>
      </c>
      <c r="B19" s="8"/>
    </row>
    <row r="20" spans="1:9" x14ac:dyDescent="0.3">
      <c r="A20" s="2" t="s">
        <v>31</v>
      </c>
      <c r="B20" s="2"/>
      <c r="C20" s="3">
        <f>COUNTA(D3:D17)</f>
        <v>15</v>
      </c>
    </row>
    <row r="21" spans="1:9" x14ac:dyDescent="0.3">
      <c r="A21" s="2" t="s">
        <v>32</v>
      </c>
      <c r="B21" s="2"/>
      <c r="C21" s="9">
        <f>SUM(I3:I17)</f>
        <v>990237.5</v>
      </c>
    </row>
    <row r="22" spans="1:9" x14ac:dyDescent="0.3">
      <c r="A22" s="2" t="s">
        <v>33</v>
      </c>
      <c r="B22" s="2"/>
      <c r="C22" s="10">
        <f>IFERROR(C21/C20,0)</f>
        <v>66015.833333333328</v>
      </c>
    </row>
  </sheetData>
  <mergeCells count="1">
    <mergeCell ref="A1:I1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hp-Corei5</cp:lastModifiedBy>
  <cp:revision>0</cp:revision>
  <dcterms:created xsi:type="dcterms:W3CDTF">2026-08-26T11:18:36Z</dcterms:created>
  <dcterms:modified xsi:type="dcterms:W3CDTF">2026-08-26T13:26:20Z</dcterms:modified>
  <dc:language>en-US</dc:language>
</cp:coreProperties>
</file>