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Corei5\Downloads\Excel Projects\"/>
    </mc:Choice>
  </mc:AlternateContent>
  <xr:revisionPtr revIDLastSave="0" documentId="8_{7FF12804-E6A8-49F8-935D-D391262C5308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Raw Data" sheetId="1" r:id="rId1"/>
    <sheet name="Clean Entry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2" l="1"/>
  <c r="B21" i="2" l="1"/>
  <c r="B20" i="2"/>
</calcChain>
</file>

<file path=xl/sharedStrings.xml><?xml version="1.0" encoding="utf-8"?>
<sst xmlns="http://schemas.openxmlformats.org/spreadsheetml/2006/main" count="87" uniqueCount="76">
  <si>
    <t>Raw HR Notes (messy — as received from office manager)</t>
  </si>
  <si>
    <t>Emp ID: E-101 -- Ahmed Raza -- works in Sales dept -- designation: Sales Executive -- joined 5 Jan 2022 -- salary 45000</t>
  </si>
  <si>
    <t>employee 102, Sana Malik, department: HR, Designation- HR Officer, DOJ 12/03/2021, Rs. 50,000/month</t>
  </si>
  <si>
    <t>E103 | Bilal Yousaf | Dept: IT | Software Developer | joining date: 2020-07-19 | salary Rs.85000</t>
  </si>
  <si>
    <t>Emp# E-104 -- Nadia Sheikh -- Finance department -- Accountant -- joined on 2023-02-10 -- pay: 55000</t>
  </si>
  <si>
    <t>104... wait E105, Farhan Iqbal, Marketing, Marketing Executive, DOJ: 01-Nov-2022, salary 48,000</t>
  </si>
  <si>
    <t>Employee code E106 / Ayesha Noor / dept HR / Designation: HR Manager / joined 15th June 2019 / Rs 95000</t>
  </si>
  <si>
    <t>E-107, Usman Ali, IT department, Network Administrator, joining 2021-09-05, salary: 60000/-</t>
  </si>
  <si>
    <t>emp id 108 -- Hina Kausar -- Sales -- Sales Manager -- DOJ 03/22/2018 -- monthly salary 90,000</t>
  </si>
  <si>
    <t>Employee E109 | Kashif Mehmood | Finance | Finance Manager | joined: 2017-11-30 | Rs.110000</t>
  </si>
  <si>
    <t>E110, Zainab Fatima, Marketing dept, Content Writer, DOJ: 08-04-2023, salary 40000</t>
  </si>
  <si>
    <t>emp# 111 -- Tariq Javed -- department: IT -- Designation - IT Support Engineer -- joined 2022-12-01 -- pay 42000</t>
  </si>
  <si>
    <t>Employee 112 / Rabia Anwar / HR department / Recruiter / joining date 2021-05-17 / salary: Rs 47,000</t>
  </si>
  <si>
    <t>E-113, Danish Ahmed, Sales department, Sales Executive, DOJ 09/09/2022, 45000 per month</t>
  </si>
  <si>
    <t>emp id: E114 -- Sadia Khan -- Finance -- Junior Accountant -- joined on 14-Jan-2024 -- salary 38000</t>
  </si>
  <si>
    <t>Employee E115 | Waleed Hassan | IT | Senior Developer | joined 2019-03-25 | Rs. 105,000/month</t>
  </si>
  <si>
    <t>Clean Employee Database</t>
  </si>
  <si>
    <t>Employee ID</t>
  </si>
  <si>
    <t>Full Name</t>
  </si>
  <si>
    <t>Department</t>
  </si>
  <si>
    <t>Designation</t>
  </si>
  <si>
    <t>Joining Date</t>
  </si>
  <si>
    <t>Salary (Rs)</t>
  </si>
  <si>
    <t>E-101</t>
  </si>
  <si>
    <t>Ahmed Raza</t>
  </si>
  <si>
    <t>Sales</t>
  </si>
  <si>
    <t>Sales Executive</t>
  </si>
  <si>
    <t>Summary</t>
  </si>
  <si>
    <t>Total Employees:</t>
  </si>
  <si>
    <t>Total Monthly Payroll (Rs):</t>
  </si>
  <si>
    <t>Average Salary (Rs):</t>
  </si>
  <si>
    <t>E-102</t>
  </si>
  <si>
    <t>E-103</t>
  </si>
  <si>
    <t>E-104</t>
  </si>
  <si>
    <t>E-105</t>
  </si>
  <si>
    <t>E-106</t>
  </si>
  <si>
    <t>E-107</t>
  </si>
  <si>
    <t>E-108</t>
  </si>
  <si>
    <t>E-109</t>
  </si>
  <si>
    <t>E-110</t>
  </si>
  <si>
    <t>E-111</t>
  </si>
  <si>
    <t>E-112</t>
  </si>
  <si>
    <t>E-113</t>
  </si>
  <si>
    <t>E-114</t>
  </si>
  <si>
    <t>E-115</t>
  </si>
  <si>
    <t>Sana Malik</t>
  </si>
  <si>
    <t>HR</t>
  </si>
  <si>
    <t xml:space="preserve">HR Officer </t>
  </si>
  <si>
    <t>Bilal Yousaf</t>
  </si>
  <si>
    <t>IT</t>
  </si>
  <si>
    <t>Software Developer</t>
  </si>
  <si>
    <t>Nadia Sheikh</t>
  </si>
  <si>
    <t>Finance</t>
  </si>
  <si>
    <t>Accountant</t>
  </si>
  <si>
    <t>Farhan Iqbal</t>
  </si>
  <si>
    <t>Marketing</t>
  </si>
  <si>
    <t xml:space="preserve"> Marketing Executive </t>
  </si>
  <si>
    <t>Ayesha Noor</t>
  </si>
  <si>
    <t xml:space="preserve">HR Manager </t>
  </si>
  <si>
    <t>Usman Ali</t>
  </si>
  <si>
    <t>Network Administrator</t>
  </si>
  <si>
    <t>Hina Kausar</t>
  </si>
  <si>
    <t>Sales Manager</t>
  </si>
  <si>
    <t>Kashif Mehmood</t>
  </si>
  <si>
    <t>Finance Manager</t>
  </si>
  <si>
    <t xml:space="preserve"> Zainab Fatima</t>
  </si>
  <si>
    <t>Content Writer</t>
  </si>
  <si>
    <t>Tariq Javed</t>
  </si>
  <si>
    <t>IT Support Engineer</t>
  </si>
  <si>
    <t>Rabia Anwar</t>
  </si>
  <si>
    <t>Recruiter</t>
  </si>
  <si>
    <t>Danish Ahmed</t>
  </si>
  <si>
    <t>Sadia Khan</t>
  </si>
  <si>
    <t>Junior Accountant</t>
  </si>
  <si>
    <t>Waleed Hassan</t>
  </si>
  <si>
    <t xml:space="preserve">Senior Developer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</si>
</sst>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sz val="8"/>
      <name val="Calibri"/>
      <family val="2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3" fontId="5" fillId="0" borderId="0" xfId="0" applyNumberFormat="1" applyFont="1"/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3" fontId="7" fillId="0" borderId="0" xfId="0" applyNumberFormat="1" applyFont="1"/>
    <xf numFmtId="0" fontId="3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6" customWidth="1"/>
    <col min="2" max="2" width="115" customWidth="1"/>
  </cols>
  <sheetData>
    <row r="1" spans="1:2" ht="25.8" customHeight="1" x14ac:dyDescent="0.3">
      <c r="A1" s="10" t="s">
        <v>0</v>
      </c>
      <c r="B1" s="10"/>
    </row>
    <row r="2" spans="1:2" ht="33.75" customHeight="1" x14ac:dyDescent="0.3">
      <c r="A2" s="2">
        <v>1</v>
      </c>
      <c r="B2" s="3" t="s">
        <v>1</v>
      </c>
    </row>
    <row r="3" spans="1:2" ht="33.75" customHeight="1" x14ac:dyDescent="0.3">
      <c r="A3" s="2">
        <v>2</v>
      </c>
      <c r="B3" s="9" t="s">
        <v>2</v>
      </c>
    </row>
    <row r="4" spans="1:2" ht="33.75" customHeight="1" x14ac:dyDescent="0.3">
      <c r="A4" s="2">
        <v>3</v>
      </c>
      <c r="B4" s="9" t="s">
        <v>3</v>
      </c>
    </row>
    <row r="5" spans="1:2" ht="33.75" customHeight="1" x14ac:dyDescent="0.3">
      <c r="A5" s="2">
        <v>4</v>
      </c>
      <c r="B5" s="9" t="s">
        <v>4</v>
      </c>
    </row>
    <row r="6" spans="1:2" ht="33.75" customHeight="1" x14ac:dyDescent="0.3">
      <c r="A6" s="2">
        <v>5</v>
      </c>
      <c r="B6" s="9" t="s">
        <v>5</v>
      </c>
    </row>
    <row r="7" spans="1:2" ht="33.75" customHeight="1" x14ac:dyDescent="0.3">
      <c r="A7" s="2">
        <v>6</v>
      </c>
      <c r="B7" s="9" t="s">
        <v>6</v>
      </c>
    </row>
    <row r="8" spans="1:2" ht="33.75" customHeight="1" x14ac:dyDescent="0.3">
      <c r="A8" s="2">
        <v>7</v>
      </c>
      <c r="B8" s="9" t="s">
        <v>7</v>
      </c>
    </row>
    <row r="9" spans="1:2" ht="33.75" customHeight="1" x14ac:dyDescent="0.3">
      <c r="A9" s="2">
        <v>8</v>
      </c>
      <c r="B9" s="9" t="s">
        <v>8</v>
      </c>
    </row>
    <row r="10" spans="1:2" ht="33.75" customHeight="1" x14ac:dyDescent="0.3">
      <c r="A10" s="2">
        <v>9</v>
      </c>
      <c r="B10" s="9" t="s">
        <v>9</v>
      </c>
    </row>
    <row r="11" spans="1:2" ht="33.75" customHeight="1" x14ac:dyDescent="0.3">
      <c r="A11" s="2">
        <v>10</v>
      </c>
      <c r="B11" s="9" t="s">
        <v>10</v>
      </c>
    </row>
    <row r="12" spans="1:2" ht="33.75" customHeight="1" x14ac:dyDescent="0.3">
      <c r="A12" s="2">
        <v>11</v>
      </c>
      <c r="B12" s="9" t="s">
        <v>11</v>
      </c>
    </row>
    <row r="13" spans="1:2" ht="33.75" customHeight="1" x14ac:dyDescent="0.3">
      <c r="A13" s="2">
        <v>12</v>
      </c>
      <c r="B13" s="9" t="s">
        <v>12</v>
      </c>
    </row>
    <row r="14" spans="1:2" ht="33.75" customHeight="1" x14ac:dyDescent="0.3">
      <c r="A14" s="2">
        <v>13</v>
      </c>
      <c r="B14" s="9" t="s">
        <v>13</v>
      </c>
    </row>
    <row r="15" spans="1:2" ht="33.75" customHeight="1" x14ac:dyDescent="0.3">
      <c r="A15" s="2">
        <v>14</v>
      </c>
      <c r="B15" s="9" t="s">
        <v>14</v>
      </c>
    </row>
    <row r="16" spans="1:2" ht="33.75" customHeight="1" x14ac:dyDescent="0.3">
      <c r="A16" s="2">
        <v>15</v>
      </c>
      <c r="B16" s="9" t="s">
        <v>15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zoomScale="85" zoomScaleNormal="85" workbookViewId="0">
      <selection activeCell="B13" sqref="B13"/>
    </sheetView>
  </sheetViews>
  <sheetFormatPr defaultColWidth="8.6640625" defaultRowHeight="14.4" x14ac:dyDescent="0.3"/>
  <cols>
    <col min="1" max="1" width="26.5546875" customWidth="1"/>
    <col min="2" max="2" width="18" customWidth="1"/>
    <col min="3" max="3" width="14" customWidth="1"/>
    <col min="4" max="4" width="22" customWidth="1"/>
    <col min="5" max="5" width="15" customWidth="1"/>
    <col min="6" max="6" width="14" customWidth="1"/>
  </cols>
  <sheetData>
    <row r="1" spans="1:7" ht="17.399999999999999" x14ac:dyDescent="0.3">
      <c r="A1" s="1" t="s">
        <v>16</v>
      </c>
      <c r="B1" s="1"/>
      <c r="C1" s="1"/>
      <c r="D1" s="1"/>
      <c r="E1" s="1"/>
      <c r="F1" s="1"/>
    </row>
    <row r="2" spans="1:7" ht="25.8" customHeight="1" x14ac:dyDescent="0.3">
      <c r="A2" s="13" t="s">
        <v>17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</row>
    <row r="3" spans="1:7" s="8" customFormat="1" ht="20.399999999999999" customHeight="1" x14ac:dyDescent="0.3">
      <c r="A3" s="14" t="s">
        <v>23</v>
      </c>
      <c r="B3" s="15" t="s">
        <v>24</v>
      </c>
      <c r="C3" s="15" t="s">
        <v>25</v>
      </c>
      <c r="D3" s="15" t="s">
        <v>26</v>
      </c>
      <c r="E3" s="16">
        <v>44566</v>
      </c>
      <c r="F3" s="17">
        <v>45000</v>
      </c>
      <c r="G3" s="12"/>
    </row>
    <row r="4" spans="1:7" s="8" customFormat="1" ht="20.399999999999999" customHeight="1" x14ac:dyDescent="0.3">
      <c r="A4" s="14" t="s">
        <v>31</v>
      </c>
      <c r="B4" s="15" t="s">
        <v>45</v>
      </c>
      <c r="C4" s="15" t="s">
        <v>46</v>
      </c>
      <c r="D4" s="15" t="s">
        <v>47</v>
      </c>
      <c r="E4" s="16">
        <v>44533</v>
      </c>
      <c r="F4" s="17">
        <v>50000</v>
      </c>
      <c r="G4" s="12"/>
    </row>
    <row r="5" spans="1:7" s="8" customFormat="1" ht="20.399999999999999" customHeight="1" x14ac:dyDescent="0.3">
      <c r="A5" s="14" t="s">
        <v>32</v>
      </c>
      <c r="B5" s="15" t="s">
        <v>48</v>
      </c>
      <c r="C5" s="18" t="s">
        <v>49</v>
      </c>
      <c r="D5" s="15" t="s">
        <v>50</v>
      </c>
      <c r="E5" s="16">
        <v>44031</v>
      </c>
      <c r="F5" s="17">
        <v>85000</v>
      </c>
      <c r="G5" s="12"/>
    </row>
    <row r="6" spans="1:7" s="8" customFormat="1" ht="20.399999999999999" customHeight="1" x14ac:dyDescent="0.3">
      <c r="A6" s="14" t="s">
        <v>33</v>
      </c>
      <c r="B6" s="18" t="s">
        <v>51</v>
      </c>
      <c r="C6" s="18" t="s">
        <v>52</v>
      </c>
      <c r="D6" s="15" t="s">
        <v>53</v>
      </c>
      <c r="E6" s="16">
        <v>44967</v>
      </c>
      <c r="F6" s="17">
        <v>55000</v>
      </c>
      <c r="G6" s="12"/>
    </row>
    <row r="7" spans="1:7" s="8" customFormat="1" ht="20.399999999999999" customHeight="1" x14ac:dyDescent="0.3">
      <c r="A7" s="14" t="s">
        <v>34</v>
      </c>
      <c r="B7" s="15" t="s">
        <v>54</v>
      </c>
      <c r="C7" s="15" t="s">
        <v>55</v>
      </c>
      <c r="D7" s="18" t="s">
        <v>56</v>
      </c>
      <c r="E7" s="16">
        <v>44866</v>
      </c>
      <c r="F7" s="17">
        <v>48000</v>
      </c>
      <c r="G7" s="12"/>
    </row>
    <row r="8" spans="1:7" s="8" customFormat="1" ht="20.399999999999999" customHeight="1" x14ac:dyDescent="0.3">
      <c r="A8" s="14" t="s">
        <v>35</v>
      </c>
      <c r="B8" s="15" t="s">
        <v>57</v>
      </c>
      <c r="C8" s="18" t="s">
        <v>46</v>
      </c>
      <c r="D8" s="18" t="s">
        <v>58</v>
      </c>
      <c r="E8" s="16">
        <v>43631</v>
      </c>
      <c r="F8" s="17">
        <v>95000</v>
      </c>
      <c r="G8" s="12"/>
    </row>
    <row r="9" spans="1:7" s="8" customFormat="1" ht="20.399999999999999" customHeight="1" x14ac:dyDescent="0.3">
      <c r="A9" s="14" t="s">
        <v>36</v>
      </c>
      <c r="B9" s="15" t="s">
        <v>59</v>
      </c>
      <c r="C9" s="18" t="s">
        <v>49</v>
      </c>
      <c r="D9" s="15" t="s">
        <v>60</v>
      </c>
      <c r="E9" s="16">
        <v>44444</v>
      </c>
      <c r="F9" s="17">
        <v>60000</v>
      </c>
      <c r="G9" s="12"/>
    </row>
    <row r="10" spans="1:7" s="8" customFormat="1" ht="20.399999999999999" customHeight="1" x14ac:dyDescent="0.3">
      <c r="A10" s="14" t="s">
        <v>37</v>
      </c>
      <c r="B10" s="18" t="s">
        <v>61</v>
      </c>
      <c r="C10" s="15" t="s">
        <v>25</v>
      </c>
      <c r="D10" s="18" t="s">
        <v>62</v>
      </c>
      <c r="E10" s="16">
        <v>43181</v>
      </c>
      <c r="F10" s="17">
        <v>90000</v>
      </c>
      <c r="G10" s="12"/>
    </row>
    <row r="11" spans="1:7" s="8" customFormat="1" ht="20.399999999999999" customHeight="1" x14ac:dyDescent="0.3">
      <c r="A11" s="14" t="s">
        <v>38</v>
      </c>
      <c r="B11" s="15" t="s">
        <v>63</v>
      </c>
      <c r="C11" s="15" t="s">
        <v>52</v>
      </c>
      <c r="D11" s="18" t="s">
        <v>64</v>
      </c>
      <c r="E11" s="16">
        <v>43069</v>
      </c>
      <c r="F11" s="17">
        <v>110000</v>
      </c>
      <c r="G11" s="12"/>
    </row>
    <row r="12" spans="1:7" s="8" customFormat="1" ht="20.399999999999999" customHeight="1" x14ac:dyDescent="0.3">
      <c r="A12" s="14" t="s">
        <v>39</v>
      </c>
      <c r="B12" s="15" t="s">
        <v>65</v>
      </c>
      <c r="C12" s="15" t="s">
        <v>55</v>
      </c>
      <c r="D12" s="15" t="s">
        <v>66</v>
      </c>
      <c r="E12" s="16">
        <v>45142</v>
      </c>
      <c r="F12" s="17">
        <v>40000</v>
      </c>
      <c r="G12" s="12"/>
    </row>
    <row r="13" spans="1:7" s="8" customFormat="1" ht="20.399999999999999" customHeight="1" x14ac:dyDescent="0.3">
      <c r="A13" s="14" t="s">
        <v>40</v>
      </c>
      <c r="B13" s="18" t="s">
        <v>67</v>
      </c>
      <c r="C13" s="18" t="s">
        <v>49</v>
      </c>
      <c r="D13" s="15" t="s">
        <v>68</v>
      </c>
      <c r="E13" s="16">
        <v>44896</v>
      </c>
      <c r="F13" s="17">
        <v>42000</v>
      </c>
      <c r="G13" s="12"/>
    </row>
    <row r="14" spans="1:7" s="8" customFormat="1" ht="20.399999999999999" customHeight="1" x14ac:dyDescent="0.3">
      <c r="A14" s="14" t="s">
        <v>41</v>
      </c>
      <c r="B14" s="15" t="s">
        <v>69</v>
      </c>
      <c r="C14" s="18" t="s">
        <v>46</v>
      </c>
      <c r="D14" s="15" t="s">
        <v>70</v>
      </c>
      <c r="E14" s="16">
        <v>44333</v>
      </c>
      <c r="F14" s="17">
        <v>47000</v>
      </c>
      <c r="G14" s="12"/>
    </row>
    <row r="15" spans="1:7" s="8" customFormat="1" ht="20.399999999999999" customHeight="1" x14ac:dyDescent="0.3">
      <c r="A15" s="14" t="s">
        <v>42</v>
      </c>
      <c r="B15" s="15" t="s">
        <v>71</v>
      </c>
      <c r="C15" s="18" t="s">
        <v>25</v>
      </c>
      <c r="D15" s="18" t="s">
        <v>26</v>
      </c>
      <c r="E15" s="16">
        <v>44813</v>
      </c>
      <c r="F15" s="17">
        <v>45000</v>
      </c>
      <c r="G15" s="12"/>
    </row>
    <row r="16" spans="1:7" s="8" customFormat="1" ht="20.399999999999999" customHeight="1" x14ac:dyDescent="0.3">
      <c r="A16" s="14" t="s">
        <v>43</v>
      </c>
      <c r="B16" s="15" t="s">
        <v>72</v>
      </c>
      <c r="C16" s="18" t="s">
        <v>52</v>
      </c>
      <c r="D16" s="15" t="s">
        <v>73</v>
      </c>
      <c r="E16" s="16">
        <v>45305</v>
      </c>
      <c r="F16" s="17">
        <v>38000</v>
      </c>
      <c r="G16" s="12"/>
    </row>
    <row r="17" spans="1:7" s="8" customFormat="1" ht="20.399999999999999" customHeight="1" x14ac:dyDescent="0.3">
      <c r="A17" s="14" t="s">
        <v>44</v>
      </c>
      <c r="B17" s="18" t="s">
        <v>74</v>
      </c>
      <c r="C17" s="18" t="s">
        <v>49</v>
      </c>
      <c r="D17" s="15" t="s">
        <v>75</v>
      </c>
      <c r="E17" s="16">
        <v>43549</v>
      </c>
      <c r="F17" s="17">
        <v>105000</v>
      </c>
      <c r="G17" s="12"/>
    </row>
    <row r="19" spans="1:7" ht="15.6" x14ac:dyDescent="0.3">
      <c r="A19" s="4" t="s">
        <v>27</v>
      </c>
    </row>
    <row r="20" spans="1:7" x14ac:dyDescent="0.3">
      <c r="A20" s="5" t="s">
        <v>28</v>
      </c>
      <c r="B20" s="6">
        <f>COUNTA(B3:B17)</f>
        <v>15</v>
      </c>
    </row>
    <row r="21" spans="1:7" x14ac:dyDescent="0.3">
      <c r="A21" s="5" t="s">
        <v>29</v>
      </c>
      <c r="B21" s="7">
        <f>SUM(F3:F17)</f>
        <v>955000</v>
      </c>
    </row>
    <row r="22" spans="1:7" x14ac:dyDescent="0.3">
      <c r="A22" s="5" t="s">
        <v>30</v>
      </c>
      <c r="B22" s="11">
        <f>IFERROR(B21/B20,0)</f>
        <v>63666.666666666664</v>
      </c>
    </row>
  </sheetData>
  <mergeCells count="1">
    <mergeCell ref="A1:F1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hp-Corei5</cp:lastModifiedBy>
  <cp:revision>0</cp:revision>
  <dcterms:created xsi:type="dcterms:W3CDTF">2026-08-31T07:58:47Z</dcterms:created>
  <dcterms:modified xsi:type="dcterms:W3CDTF">2026-08-31T08:43:08Z</dcterms:modified>
  <dc:language>en-US</dc:language>
</cp:coreProperties>
</file>