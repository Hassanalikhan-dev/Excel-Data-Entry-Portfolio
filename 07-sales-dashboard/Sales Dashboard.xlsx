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-Corei5\Downloads\Excel Projects\"/>
    </mc:Choice>
  </mc:AlternateContent>
  <xr:revisionPtr revIDLastSave="0" documentId="8_{6EBC2D4C-C34A-4230-B4C1-9E20F30EDBE5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Raw Data" sheetId="2" r:id="rId1"/>
    <sheet name="Dashboard" sheetId="3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3" l="1"/>
  <c r="B13" i="3"/>
  <c r="E14" i="3"/>
  <c r="E13" i="3"/>
  <c r="E12" i="3"/>
  <c r="H12" i="3"/>
  <c r="H11" i="3"/>
  <c r="H10" i="3"/>
  <c r="G4" i="3"/>
  <c r="D4" i="3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E10" i="3" s="1"/>
  <c r="H13" i="2"/>
  <c r="H12" i="2"/>
  <c r="H11" i="2"/>
  <c r="B11" i="3" s="1"/>
  <c r="H10" i="2"/>
  <c r="E11" i="3" s="1"/>
  <c r="H9" i="2"/>
  <c r="H8" i="2"/>
  <c r="H7" i="2"/>
  <c r="H6" i="2"/>
  <c r="B10" i="3" s="1"/>
  <c r="H5" i="2"/>
  <c r="H4" i="2"/>
  <c r="H3" i="2"/>
  <c r="B12" i="3" s="1"/>
  <c r="H2" i="2"/>
  <c r="A4" i="3" s="1"/>
  <c r="J4" i="3" s="1"/>
</calcChain>
</file>

<file path=xl/sharedStrings.xml><?xml version="1.0" encoding="utf-8"?>
<sst xmlns="http://schemas.openxmlformats.org/spreadsheetml/2006/main" count="635" uniqueCount="121">
  <si>
    <t>Date</t>
  </si>
  <si>
    <t>Region</t>
  </si>
  <si>
    <t>Salesperson</t>
  </si>
  <si>
    <t>Product</t>
  </si>
  <si>
    <t>Category</t>
  </si>
  <si>
    <t>Units</t>
  </si>
  <si>
    <t>Unit Price (Rs)</t>
  </si>
  <si>
    <t>Total (Rs)</t>
  </si>
  <si>
    <t>2026-01-01</t>
  </si>
  <si>
    <t>Faisalabad</t>
  </si>
  <si>
    <t>Ayesha Noor</t>
  </si>
  <si>
    <t>Kids Sneakers</t>
  </si>
  <si>
    <t>Footwear</t>
  </si>
  <si>
    <t>Islamabad</t>
  </si>
  <si>
    <t>Bilal Yousaf</t>
  </si>
  <si>
    <t>Cotton Roll</t>
  </si>
  <si>
    <t>Clothing</t>
  </si>
  <si>
    <t>2026-01-02</t>
  </si>
  <si>
    <t>Karachi</t>
  </si>
  <si>
    <t>Nadia Sheikh</t>
  </si>
  <si>
    <t>Skincare Kit</t>
  </si>
  <si>
    <t>2026-01-03</t>
  </si>
  <si>
    <t>Kashif Mehmood</t>
  </si>
  <si>
    <t>Winter Jacket</t>
  </si>
  <si>
    <t>2026-01-04</t>
  </si>
  <si>
    <t>2026-01-06</t>
  </si>
  <si>
    <t>Multan</t>
  </si>
  <si>
    <t>Steel Rod</t>
  </si>
  <si>
    <t>Home &amp; Kitchen</t>
  </si>
  <si>
    <t>2026-01-07</t>
  </si>
  <si>
    <t>Usman Ali</t>
  </si>
  <si>
    <t>2026-01-08</t>
  </si>
  <si>
    <t>Lahore</t>
  </si>
  <si>
    <t>Ahmed Raza</t>
  </si>
  <si>
    <t>Sports Shoes</t>
  </si>
  <si>
    <t>Office Chair</t>
  </si>
  <si>
    <t>2026-01-09</t>
  </si>
  <si>
    <t>Packaging Box</t>
  </si>
  <si>
    <t>LED Bulb</t>
  </si>
  <si>
    <t>Electronics</t>
  </si>
  <si>
    <t>Formal Shirt</t>
  </si>
  <si>
    <t>2026-01-10</t>
  </si>
  <si>
    <t>Hina Kausar</t>
  </si>
  <si>
    <t>Fertilizer Bag</t>
  </si>
  <si>
    <t>Groceries</t>
  </si>
  <si>
    <t>2026-01-14</t>
  </si>
  <si>
    <t>Flour Bag 10kg</t>
  </si>
  <si>
    <t>Handmade Bag</t>
  </si>
  <si>
    <t>2026-01-15</t>
  </si>
  <si>
    <t>Farhan Iqbal</t>
  </si>
  <si>
    <t>Coffee Mug Set</t>
  </si>
  <si>
    <t>2026-01-16</t>
  </si>
  <si>
    <t>2026-01-17</t>
  </si>
  <si>
    <t>Zainab Fatima</t>
  </si>
  <si>
    <t>Brake Pads Set</t>
  </si>
  <si>
    <t>2026-01-19</t>
  </si>
  <si>
    <t>Sana Malik</t>
  </si>
  <si>
    <t>2026-01-20</t>
  </si>
  <si>
    <t>2026-01-21</t>
  </si>
  <si>
    <t>2026-01-22</t>
  </si>
  <si>
    <t>2026-01-23</t>
  </si>
  <si>
    <t>Sewing Machine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</si>
  <si>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</si>
  <si>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</si>
  <si>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</si>
  <si>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</si>
  <si>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</si>
  <si>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</si>
  <si>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</si>
  <si>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</si>
  <si>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</si>
  <si>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Rice Bag 50kg</t>
  </si>
  <si>
    <t>2026-02-03</t>
  </si>
  <si>
    <t>2026-02-04</t>
  </si>
  <si>
    <t>2026-02-05</t>
  </si>
  <si>
    <t>2026-02-09</t>
  </si>
  <si>
    <t>2026-02-10</t>
  </si>
  <si>
    <t>2026-02-13</t>
  </si>
  <si>
    <t>2026-02-14</t>
  </si>
  <si>
    <t>2026-02-15</t>
  </si>
  <si>
    <t>2026-02-17</t>
  </si>
  <si>
    <t>2026-02-18</t>
  </si>
  <si>
    <t>2026-02-19</t>
  </si>
  <si>
    <t>2026-02-20</t>
  </si>
  <si>
    <t>Wooden Table</t>
  </si>
  <si>
    <t>2026-02-22</t>
  </si>
  <si>
    <t>2026-02-24</t>
  </si>
  <si>
    <t>2026-02-25</t>
  </si>
  <si>
    <t>2026-02-26</t>
  </si>
  <si>
    <t>2026-03-01</t>
  </si>
  <si>
    <t>2026-03-02</t>
  </si>
  <si>
    <t>2026-03-04</t>
  </si>
  <si>
    <t>2026-03-09</t>
  </si>
  <si>
    <t>2026-03-10</t>
  </si>
  <si>
    <t>2026-03-11</t>
  </si>
  <si>
    <t>2026-03-12</t>
  </si>
  <si>
    <t>2026-03-13</t>
  </si>
  <si>
    <t>2026-03-17</t>
  </si>
  <si>
    <t>2026-03-18</t>
  </si>
  <si>
    <t>2026-03-19</t>
  </si>
  <si>
    <t>2026-03-22</t>
  </si>
  <si>
    <t>2026-03-23</t>
  </si>
  <si>
    <t>2026-03-25</t>
  </si>
  <si>
    <t>2026-03-26</t>
  </si>
  <si>
    <t>2026-03-27</t>
  </si>
  <si>
    <t>2026-03-28</t>
  </si>
  <si>
    <t>2026-03-29</t>
  </si>
  <si>
    <t>2026-03-31</t>
  </si>
  <si>
    <t>Q1 2026 Sales Dashboard</t>
  </si>
  <si>
    <t>Total Revenue (Rs)</t>
  </si>
  <si>
    <t>Total Orders</t>
  </si>
  <si>
    <t>Total Units Sold</t>
  </si>
  <si>
    <t>Avg Order Value (Rs)</t>
  </si>
  <si>
    <t>Revenue by Region</t>
  </si>
  <si>
    <t>Revenue by Category</t>
  </si>
  <si>
    <t>Revenue by Month</t>
  </si>
  <si>
    <t>Revenue (Rs)</t>
  </si>
  <si>
    <t>Month</t>
  </si>
  <si>
    <t>January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</si>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</sst>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7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20"/>
      <color rgb="FFFFFFFF"/>
      <name val="Arial"/>
      <charset val="1"/>
    </font>
    <font>
      <b/>
      <sz val="13"/>
      <color rgb="FF1F4E78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D32"/>
        <bgColor rgb="FF008000"/>
      </patternFill>
    </fill>
    <fill>
      <patternFill patternType="solid">
        <fgColor rgb="FF8E24AA"/>
        <bgColor rgb="FF800080"/>
      </patternFill>
    </fill>
    <fill>
      <patternFill patternType="solid">
        <fgColor rgb="FFC62828"/>
        <bgColor rgb="FFC0504D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3" fontId="5" fillId="5" borderId="0" xfId="0" applyNumberFormat="1" applyFont="1" applyFill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horizontal="center"/>
    </xf>
    <xf numFmtId="164" fontId="4" fillId="0" borderId="1" xfId="0" applyNumberFormat="1" applyFont="1" applyBorder="1"/>
    <xf numFmtId="0" fontId="4" fillId="0" borderId="1" xfId="0" applyFont="1" applyBorder="1"/>
    <xf numFmtId="3" fontId="4" fillId="0" borderId="1" xfId="0" applyNumberFormat="1" applyFont="1" applyBorder="1"/>
    <xf numFmtId="0" fontId="6" fillId="0" borderId="0" xfId="0" applyFont="1"/>
    <xf numFmtId="0" fontId="3" fillId="2" borderId="1" xfId="0" applyFont="1" applyFill="1" applyBorder="1"/>
    <xf numFmtId="0" fontId="2" fillId="0" borderId="1" xfId="0" applyFon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7B7B7"/>
      <rgbColor rgb="FF808080"/>
      <rgbColor rgb="FF9999FF"/>
      <rgbColor rgb="FF8E24AA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878787"/>
      <rgbColor rgb="FF003366"/>
      <rgbColor rgb="FF2E7D32"/>
      <rgbColor rgb="FF003300"/>
      <rgbColor rgb="FF333300"/>
      <rgbColor rgb="FFC62828"/>
      <rgbColor rgb="FFC0504D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Revenue (Rs)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Dashboard!$A$10:$A$14</c:f>
              <c:strCache>
                <c:ptCount val="5"/>
                <c:pt idx="0">
                  <c:v>Karachi</c:v>
                </c:pt>
                <c:pt idx="1">
                  <c:v>Lahore</c:v>
                </c:pt>
                <c:pt idx="2">
                  <c:v>Islamabad</c:v>
                </c:pt>
                <c:pt idx="3">
                  <c:v>Multan</c:v>
                </c:pt>
                <c:pt idx="4">
                  <c:v>Faisalabad</c:v>
                </c:pt>
              </c:strCache>
            </c:strRef>
          </c:cat>
          <c:val>
            <c:numRef>
              <c:f>Dashboard!$B$10:$B$14</c:f>
              <c:numCache>
                <c:formatCode>#,##0</c:formatCode>
                <c:ptCount val="5"/>
                <c:pt idx="0">
                  <c:v>4996140</c:v>
                </c:pt>
                <c:pt idx="1">
                  <c:v>2114450</c:v>
                </c:pt>
                <c:pt idx="2">
                  <c:v>1556645</c:v>
                </c:pt>
                <c:pt idx="3">
                  <c:v>1775000</c:v>
                </c:pt>
                <c:pt idx="4">
                  <c:v>2958850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2-4219-927B-472268326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086939"/>
        <c:axId val="8571115"/>
      </c:barChart>
      <c:catAx>
        <c:axId val="390869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71115"/>
        <c:crosses val="autoZero"/>
        <c:auto val="1"/>
        <c:lblAlgn val="ctr"/>
        <c:lblOffset val="100"/>
        <c:noMultiLvlLbl val="0"/>
      </c:catAx>
      <c:valAx>
        <c:axId val="85711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0869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Dashboard!$E$9</c:f>
              <c:strCache>
                <c:ptCount val="1"/>
                <c:pt idx="0">
                  <c:v>Revenue (Rs)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2"/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755-40D7-BBEE-61759D84A90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755-40D7-BBEE-61759D84A90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755-40D7-BBEE-61759D84A904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755-40D7-BBEE-61759D84A904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D755-40D7-BBEE-61759D84A90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D755-40D7-BBEE-61759D84A90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D755-40D7-BBEE-61759D84A90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D755-40D7-BBEE-61759D84A90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D755-40D7-BBEE-61759D84A90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D755-40D7-BBEE-61759D84A9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Dashboard!$D$10:$D$14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Home &amp; Kitchen</c:v>
                </c:pt>
                <c:pt idx="3">
                  <c:v>Footwear</c:v>
                </c:pt>
                <c:pt idx="4">
                  <c:v>Groceries</c:v>
                </c:pt>
              </c:strCache>
            </c:strRef>
          </c:cat>
          <c:val>
            <c:numRef>
              <c:f>Dashboard!$E$10:$E$14</c:f>
              <c:numCache>
                <c:formatCode>#,##0</c:formatCode>
                <c:ptCount val="5"/>
                <c:pt idx="0">
                  <c:v>4570500</c:v>
                </c:pt>
                <c:pt idx="1">
                  <c:v>4216300</c:v>
                </c:pt>
                <c:pt idx="2">
                  <c:v>1726585</c:v>
                </c:pt>
                <c:pt idx="3">
                  <c:v>1106100</c:v>
                </c:pt>
                <c:pt idx="4">
                  <c:v>1781600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755-40D7-BBEE-61759D84A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  <a:effectLst/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Trend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Dashboard!$H$9</c:f>
              <c:strCache>
                <c:ptCount val="1"/>
                <c:pt idx="0">
                  <c:v>Revenue (Rs)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Dashboard!$G$10:$G$12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Dashboard!$H$10:$H$12</c:f>
              <c:numCache>
                <c:formatCode>#,##0</c:formatCode>
                <c:ptCount val="3"/>
                <c:pt idx="0">
                  <c:v>5314315</c:v>
                </c:pt>
                <c:pt idx="1">
                  <c:v>2911880</c:v>
                </c:pt>
                <c:pt idx="2">
                  <c:v>5174890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795-4000-B7B2-55E49E0CA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183409"/>
        <c:axId val="81596602"/>
      </c:lineChart>
      <c:catAx>
        <c:axId val="891834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596602"/>
        <c:crosses val="autoZero"/>
        <c:auto val="1"/>
        <c:lblAlgn val="ctr"/>
        <c:lblOffset val="100"/>
        <c:noMultiLvlLbl val="0"/>
      </c:catAx>
      <c:valAx>
        <c:axId val="815966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1834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116280</xdr:rowOff>
    </xdr:from>
    <xdr:to>
      <xdr:col>2</xdr:col>
      <xdr:colOff>1919340</xdr:colOff>
      <xdr:row>30</xdr:row>
      <xdr:rowOff>138240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15</xdr:row>
      <xdr:rowOff>116280</xdr:rowOff>
    </xdr:from>
    <xdr:to>
      <xdr:col>5</xdr:col>
      <xdr:colOff>2864160</xdr:colOff>
      <xdr:row>30</xdr:row>
      <xdr:rowOff>138240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15</xdr:row>
      <xdr:rowOff>116280</xdr:rowOff>
    </xdr:from>
    <xdr:to>
      <xdr:col>12</xdr:col>
      <xdr:colOff>162900</xdr:colOff>
      <xdr:row>30</xdr:row>
      <xdr:rowOff>138240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zoomScaleNormal="100" workbookViewId="0">
      <pane ySplit="1" topLeftCell="A95" activePane="bottomLeft" state="frozen"/>
      <selection pane="bottomLeft"/>
    </sheetView>
  </sheetViews>
  <sheetFormatPr defaultColWidth="8.6640625" defaultRowHeight="14.4" x14ac:dyDescent="0.3"/>
  <cols>
    <col min="1" max="2" width="13" customWidth="1"/>
    <col min="3" max="3" width="16" customWidth="1"/>
    <col min="4" max="4" width="18" customWidth="1"/>
    <col min="5" max="5" width="15" customWidth="1"/>
    <col min="6" max="6" width="8" customWidth="1"/>
    <col min="7" max="7" width="15" customWidth="1"/>
    <col min="8" max="8" width="13" customWidth="1"/>
  </cols>
  <sheetData>
    <row r="1" spans="1:8" ht="21.7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x14ac:dyDescent="0.3">
      <c r="A2" s="11" t="s">
        <v>8</v>
      </c>
      <c r="B2" s="12" t="s">
        <v>9</v>
      </c>
      <c r="C2" s="12" t="s">
        <v>10</v>
      </c>
      <c r="D2" s="12" t="s">
        <v>11</v>
      </c>
      <c r="E2" s="12" t="s">
        <v>12</v>
      </c>
      <c r="F2" s="12">
        <v>2</v>
      </c>
      <c r="G2" s="13">
        <v>1200</v>
      </c>
      <c r="H2" s="13">
        <f t="shared" ref="H2:H33" si="0">F2*G2</f>
        <v>2400</v>
      </c>
    </row>
    <row r="3" spans="1:8" x14ac:dyDescent="0.3">
      <c r="A3" s="11" t="s">
        <v>8</v>
      </c>
      <c r="B3" s="12" t="s">
        <v>13</v>
      </c>
      <c r="C3" s="12" t="s">
        <v>14</v>
      </c>
      <c r="D3" s="12" t="s">
        <v>15</v>
      </c>
      <c r="E3" s="12" t="s">
        <v>16</v>
      </c>
      <c r="F3" s="12">
        <v>11</v>
      </c>
      <c r="G3" s="13">
        <v>8000</v>
      </c>
      <c r="H3" s="13">
        <f t="shared" si="0"/>
        <v>88000</v>
      </c>
    </row>
    <row r="4" spans="1:8" x14ac:dyDescent="0.3">
      <c r="A4" s="11" t="s">
        <v>17</v>
      </c>
      <c r="B4" s="12" t="s">
        <v>18</v>
      </c>
      <c r="C4" s="12" t="s">
        <v>19</v>
      </c>
      <c r="D4" s="12" t="s">
        <v>20</v>
      </c>
      <c r="E4" s="12" t="s">
        <v>16</v>
      </c>
      <c r="F4" s="12">
        <v>27</v>
      </c>
      <c r="G4" s="13">
        <v>2800</v>
      </c>
      <c r="H4" s="13">
        <f t="shared" si="0"/>
        <v>75600</v>
      </c>
    </row>
    <row r="5" spans="1:8" x14ac:dyDescent="0.3">
      <c r="A5" s="11" t="s">
        <v>21</v>
      </c>
      <c r="B5" s="12" t="s">
        <v>9</v>
      </c>
      <c r="C5" s="12" t="s">
        <v>22</v>
      </c>
      <c r="D5" s="12" t="s">
        <v>23</v>
      </c>
      <c r="E5" s="12" t="s">
        <v>16</v>
      </c>
      <c r="F5" s="12">
        <v>38</v>
      </c>
      <c r="G5" s="13">
        <v>4500</v>
      </c>
      <c r="H5" s="13">
        <f t="shared" si="0"/>
        <v>171000</v>
      </c>
    </row>
    <row r="6" spans="1:8" x14ac:dyDescent="0.3">
      <c r="A6" s="11" t="s">
        <v>24</v>
      </c>
      <c r="B6" s="12" t="s">
        <v>18</v>
      </c>
      <c r="C6" s="12" t="s">
        <v>19</v>
      </c>
      <c r="D6" s="12" t="s">
        <v>11</v>
      </c>
      <c r="E6" s="12" t="s">
        <v>12</v>
      </c>
      <c r="F6" s="12">
        <v>40</v>
      </c>
      <c r="G6" s="13">
        <v>1200</v>
      </c>
      <c r="H6" s="13">
        <f t="shared" si="0"/>
        <v>48000</v>
      </c>
    </row>
    <row r="7" spans="1:8" x14ac:dyDescent="0.3">
      <c r="A7" s="11" t="s">
        <v>25</v>
      </c>
      <c r="B7" s="12" t="s">
        <v>26</v>
      </c>
      <c r="C7" s="12" t="s">
        <v>22</v>
      </c>
      <c r="D7" s="12" t="s">
        <v>27</v>
      </c>
      <c r="E7" s="12" t="s">
        <v>28</v>
      </c>
      <c r="F7" s="12">
        <v>60</v>
      </c>
      <c r="G7" s="13">
        <v>950</v>
      </c>
      <c r="H7" s="13">
        <f t="shared" si="0"/>
        <v>57000</v>
      </c>
    </row>
    <row r="8" spans="1:8" x14ac:dyDescent="0.3">
      <c r="A8" s="11" t="s">
        <v>25</v>
      </c>
      <c r="B8" s="12" t="s">
        <v>13</v>
      </c>
      <c r="C8" s="12" t="s">
        <v>19</v>
      </c>
      <c r="D8" s="12" t="s">
        <v>23</v>
      </c>
      <c r="E8" s="12" t="s">
        <v>16</v>
      </c>
      <c r="F8" s="12">
        <v>43</v>
      </c>
      <c r="G8" s="13">
        <v>4500</v>
      </c>
      <c r="H8" s="13">
        <f t="shared" si="0"/>
        <v>193500</v>
      </c>
    </row>
    <row r="9" spans="1:8" x14ac:dyDescent="0.3">
      <c r="A9" s="11" t="s">
        <v>29</v>
      </c>
      <c r="B9" s="12" t="s">
        <v>18</v>
      </c>
      <c r="C9" s="12" t="s">
        <v>14</v>
      </c>
      <c r="D9" s="12" t="s">
        <v>20</v>
      </c>
      <c r="E9" s="12" t="s">
        <v>16</v>
      </c>
      <c r="F9" s="12">
        <v>51</v>
      </c>
      <c r="G9" s="13">
        <v>2800</v>
      </c>
      <c r="H9" s="13">
        <f t="shared" si="0"/>
        <v>142800</v>
      </c>
    </row>
    <row r="10" spans="1:8" x14ac:dyDescent="0.3">
      <c r="A10" s="11" t="s">
        <v>29</v>
      </c>
      <c r="B10" s="12" t="s">
        <v>18</v>
      </c>
      <c r="C10" s="12" t="s">
        <v>30</v>
      </c>
      <c r="D10" s="12" t="s">
        <v>15</v>
      </c>
      <c r="E10" s="12" t="s">
        <v>16</v>
      </c>
      <c r="F10" s="12">
        <v>3</v>
      </c>
      <c r="G10" s="13">
        <v>8000</v>
      </c>
      <c r="H10" s="13">
        <f t="shared" si="0"/>
        <v>24000</v>
      </c>
    </row>
    <row r="11" spans="1:8" x14ac:dyDescent="0.3">
      <c r="A11" s="11" t="s">
        <v>31</v>
      </c>
      <c r="B11" s="12" t="s">
        <v>32</v>
      </c>
      <c r="C11" s="12" t="s">
        <v>33</v>
      </c>
      <c r="D11" s="12" t="s">
        <v>34</v>
      </c>
      <c r="E11" s="12" t="s">
        <v>12</v>
      </c>
      <c r="F11" s="12">
        <v>26</v>
      </c>
      <c r="G11" s="13">
        <v>3500</v>
      </c>
      <c r="H11" s="13">
        <f t="shared" si="0"/>
        <v>91000</v>
      </c>
    </row>
    <row r="12" spans="1:8" x14ac:dyDescent="0.3">
      <c r="A12" s="11" t="s">
        <v>31</v>
      </c>
      <c r="B12" s="12" t="s">
        <v>32</v>
      </c>
      <c r="C12" s="12" t="s">
        <v>30</v>
      </c>
      <c r="D12" s="12" t="s">
        <v>35</v>
      </c>
      <c r="E12" s="12" t="s">
        <v>28</v>
      </c>
      <c r="F12" s="12">
        <v>25</v>
      </c>
      <c r="G12" s="13">
        <v>4500</v>
      </c>
      <c r="H12" s="13">
        <f t="shared" si="0"/>
        <v>112500</v>
      </c>
    </row>
    <row r="13" spans="1:8" x14ac:dyDescent="0.3">
      <c r="A13" s="11" t="s">
        <v>36</v>
      </c>
      <c r="B13" s="12" t="s">
        <v>18</v>
      </c>
      <c r="C13" s="12" t="s">
        <v>19</v>
      </c>
      <c r="D13" s="12" t="s">
        <v>37</v>
      </c>
      <c r="E13" s="12" t="s">
        <v>28</v>
      </c>
      <c r="F13" s="12">
        <v>6</v>
      </c>
      <c r="G13" s="13">
        <v>85</v>
      </c>
      <c r="H13" s="13">
        <f t="shared" si="0"/>
        <v>510</v>
      </c>
    </row>
    <row r="14" spans="1:8" x14ac:dyDescent="0.3">
      <c r="A14" s="11" t="s">
        <v>36</v>
      </c>
      <c r="B14" s="12" t="s">
        <v>18</v>
      </c>
      <c r="C14" s="12" t="s">
        <v>10</v>
      </c>
      <c r="D14" s="12" t="s">
        <v>38</v>
      </c>
      <c r="E14" s="12" t="s">
        <v>39</v>
      </c>
      <c r="F14" s="12">
        <v>33</v>
      </c>
      <c r="G14" s="13">
        <v>150</v>
      </c>
      <c r="H14" s="13">
        <f t="shared" si="0"/>
        <v>4950</v>
      </c>
    </row>
    <row r="15" spans="1:8" x14ac:dyDescent="0.3">
      <c r="A15" s="11" t="s">
        <v>36</v>
      </c>
      <c r="B15" s="12" t="s">
        <v>13</v>
      </c>
      <c r="C15" s="12" t="s">
        <v>10</v>
      </c>
      <c r="D15" s="12" t="s">
        <v>40</v>
      </c>
      <c r="E15" s="12" t="s">
        <v>16</v>
      </c>
      <c r="F15" s="12">
        <v>26</v>
      </c>
      <c r="G15" s="13">
        <v>1650</v>
      </c>
      <c r="H15" s="13">
        <f t="shared" si="0"/>
        <v>42900</v>
      </c>
    </row>
    <row r="16" spans="1:8" x14ac:dyDescent="0.3">
      <c r="A16" s="11" t="s">
        <v>41</v>
      </c>
      <c r="B16" s="12" t="s">
        <v>18</v>
      </c>
      <c r="C16" s="12" t="s">
        <v>42</v>
      </c>
      <c r="D16" s="12" t="s">
        <v>27</v>
      </c>
      <c r="E16" s="12" t="s">
        <v>28</v>
      </c>
      <c r="F16" s="12">
        <v>5</v>
      </c>
      <c r="G16" s="13">
        <v>950</v>
      </c>
      <c r="H16" s="13">
        <f t="shared" si="0"/>
        <v>4750</v>
      </c>
    </row>
    <row r="17" spans="1:8" x14ac:dyDescent="0.3">
      <c r="A17" s="11" t="s">
        <v>41</v>
      </c>
      <c r="B17" s="12" t="s">
        <v>26</v>
      </c>
      <c r="C17" s="12" t="s">
        <v>30</v>
      </c>
      <c r="D17" s="12" t="s">
        <v>43</v>
      </c>
      <c r="E17" s="12" t="s">
        <v>44</v>
      </c>
      <c r="F17" s="12">
        <v>46</v>
      </c>
      <c r="G17" s="13">
        <v>1800</v>
      </c>
      <c r="H17" s="13">
        <f t="shared" si="0"/>
        <v>82800</v>
      </c>
    </row>
    <row r="18" spans="1:8" x14ac:dyDescent="0.3">
      <c r="A18" s="11" t="s">
        <v>45</v>
      </c>
      <c r="B18" s="12" t="s">
        <v>9</v>
      </c>
      <c r="C18" s="12" t="s">
        <v>14</v>
      </c>
      <c r="D18" s="12" t="s">
        <v>15</v>
      </c>
      <c r="E18" s="12" t="s">
        <v>16</v>
      </c>
      <c r="F18" s="12">
        <v>19</v>
      </c>
      <c r="G18" s="13">
        <v>8000</v>
      </c>
      <c r="H18" s="13">
        <f t="shared" si="0"/>
        <v>152000</v>
      </c>
    </row>
    <row r="19" spans="1:8" x14ac:dyDescent="0.3">
      <c r="A19" s="11" t="s">
        <v>45</v>
      </c>
      <c r="B19" s="12" t="s">
        <v>13</v>
      </c>
      <c r="C19" s="12" t="s">
        <v>22</v>
      </c>
      <c r="D19" s="12" t="s">
        <v>46</v>
      </c>
      <c r="E19" s="12" t="s">
        <v>44</v>
      </c>
      <c r="F19" s="12">
        <v>40</v>
      </c>
      <c r="G19" s="13">
        <v>3200</v>
      </c>
      <c r="H19" s="13">
        <f t="shared" si="0"/>
        <v>128000</v>
      </c>
    </row>
    <row r="20" spans="1:8" x14ac:dyDescent="0.3">
      <c r="A20" s="11" t="s">
        <v>45</v>
      </c>
      <c r="B20" s="12" t="s">
        <v>9</v>
      </c>
      <c r="C20" s="12" t="s">
        <v>30</v>
      </c>
      <c r="D20" s="12" t="s">
        <v>47</v>
      </c>
      <c r="E20" s="12" t="s">
        <v>16</v>
      </c>
      <c r="F20" s="12">
        <v>47</v>
      </c>
      <c r="G20" s="13">
        <v>2200</v>
      </c>
      <c r="H20" s="13">
        <f t="shared" si="0"/>
        <v>103400</v>
      </c>
    </row>
    <row r="21" spans="1:8" x14ac:dyDescent="0.3">
      <c r="A21" s="11" t="s">
        <v>48</v>
      </c>
      <c r="B21" s="12" t="s">
        <v>13</v>
      </c>
      <c r="C21" s="12" t="s">
        <v>49</v>
      </c>
      <c r="D21" s="12" t="s">
        <v>23</v>
      </c>
      <c r="E21" s="12" t="s">
        <v>16</v>
      </c>
      <c r="F21" s="12">
        <v>4</v>
      </c>
      <c r="G21" s="13">
        <v>4500</v>
      </c>
      <c r="H21" s="13">
        <f t="shared" si="0"/>
        <v>18000</v>
      </c>
    </row>
    <row r="22" spans="1:8" x14ac:dyDescent="0.3">
      <c r="A22" s="11" t="s">
        <v>48</v>
      </c>
      <c r="B22" s="12" t="s">
        <v>18</v>
      </c>
      <c r="C22" s="12" t="s">
        <v>14</v>
      </c>
      <c r="D22" s="12" t="s">
        <v>50</v>
      </c>
      <c r="E22" s="12" t="s">
        <v>28</v>
      </c>
      <c r="F22" s="12">
        <v>3</v>
      </c>
      <c r="G22" s="13">
        <v>1350</v>
      </c>
      <c r="H22" s="13">
        <f t="shared" si="0"/>
        <v>4050</v>
      </c>
    </row>
    <row r="23" spans="1:8" x14ac:dyDescent="0.3">
      <c r="A23" s="11" t="s">
        <v>51</v>
      </c>
      <c r="B23" s="12" t="s">
        <v>32</v>
      </c>
      <c r="C23" s="12" t="s">
        <v>19</v>
      </c>
      <c r="D23" s="12" t="s">
        <v>38</v>
      </c>
      <c r="E23" s="12" t="s">
        <v>39</v>
      </c>
      <c r="F23" s="12">
        <v>22</v>
      </c>
      <c r="G23" s="13">
        <v>150</v>
      </c>
      <c r="H23" s="13">
        <f t="shared" si="0"/>
        <v>3300</v>
      </c>
    </row>
    <row r="24" spans="1:8" x14ac:dyDescent="0.3">
      <c r="A24" s="11" t="s">
        <v>51</v>
      </c>
      <c r="B24" s="12" t="s">
        <v>13</v>
      </c>
      <c r="C24" s="12" t="s">
        <v>22</v>
      </c>
      <c r="D24" s="12" t="s">
        <v>37</v>
      </c>
      <c r="E24" s="12" t="s">
        <v>28</v>
      </c>
      <c r="F24" s="12">
        <v>43</v>
      </c>
      <c r="G24" s="13">
        <v>85</v>
      </c>
      <c r="H24" s="13">
        <f t="shared" si="0"/>
        <v>3655</v>
      </c>
    </row>
    <row r="25" spans="1:8" x14ac:dyDescent="0.3">
      <c r="A25" s="11" t="s">
        <v>52</v>
      </c>
      <c r="B25" s="12" t="s">
        <v>9</v>
      </c>
      <c r="C25" s="12" t="s">
        <v>53</v>
      </c>
      <c r="D25" s="12" t="s">
        <v>11</v>
      </c>
      <c r="E25" s="12" t="s">
        <v>12</v>
      </c>
      <c r="F25" s="12">
        <v>16</v>
      </c>
      <c r="G25" s="13">
        <v>1200</v>
      </c>
      <c r="H25" s="13">
        <f t="shared" si="0"/>
        <v>19200</v>
      </c>
    </row>
    <row r="26" spans="1:8" x14ac:dyDescent="0.3">
      <c r="A26" s="11" t="s">
        <v>52</v>
      </c>
      <c r="B26" s="12" t="s">
        <v>18</v>
      </c>
      <c r="C26" s="12" t="s">
        <v>49</v>
      </c>
      <c r="D26" s="12" t="s">
        <v>47</v>
      </c>
      <c r="E26" s="12" t="s">
        <v>16</v>
      </c>
      <c r="F26" s="12">
        <v>58</v>
      </c>
      <c r="G26" s="13">
        <v>2200</v>
      </c>
      <c r="H26" s="13">
        <f t="shared" si="0"/>
        <v>127600</v>
      </c>
    </row>
    <row r="27" spans="1:8" x14ac:dyDescent="0.3">
      <c r="A27" s="11" t="s">
        <v>52</v>
      </c>
      <c r="B27" s="12" t="s">
        <v>32</v>
      </c>
      <c r="C27" s="12" t="s">
        <v>30</v>
      </c>
      <c r="D27" s="12" t="s">
        <v>54</v>
      </c>
      <c r="E27" s="12" t="s">
        <v>39</v>
      </c>
      <c r="F27" s="12">
        <v>44</v>
      </c>
      <c r="G27" s="13">
        <v>1450</v>
      </c>
      <c r="H27" s="13">
        <f t="shared" si="0"/>
        <v>63800</v>
      </c>
    </row>
    <row r="28" spans="1:8" x14ac:dyDescent="0.3">
      <c r="A28" s="11" t="s">
        <v>55</v>
      </c>
      <c r="B28" s="12" t="s">
        <v>18</v>
      </c>
      <c r="C28" s="12" t="s">
        <v>56</v>
      </c>
      <c r="D28" s="12" t="s">
        <v>46</v>
      </c>
      <c r="E28" s="12" t="s">
        <v>44</v>
      </c>
      <c r="F28" s="12">
        <v>15</v>
      </c>
      <c r="G28" s="13">
        <v>3200</v>
      </c>
      <c r="H28" s="13">
        <f t="shared" si="0"/>
        <v>48000</v>
      </c>
    </row>
    <row r="29" spans="1:8" x14ac:dyDescent="0.3">
      <c r="A29" s="11" t="s">
        <v>57</v>
      </c>
      <c r="B29" s="12" t="s">
        <v>32</v>
      </c>
      <c r="C29" s="12" t="s">
        <v>14</v>
      </c>
      <c r="D29" s="12" t="s">
        <v>20</v>
      </c>
      <c r="E29" s="12" t="s">
        <v>16</v>
      </c>
      <c r="F29" s="12">
        <v>57</v>
      </c>
      <c r="G29" s="13">
        <v>2800</v>
      </c>
      <c r="H29" s="13">
        <f t="shared" si="0"/>
        <v>159600</v>
      </c>
    </row>
    <row r="30" spans="1:8" x14ac:dyDescent="0.3">
      <c r="A30" s="11" t="s">
        <v>58</v>
      </c>
      <c r="B30" s="12" t="s">
        <v>26</v>
      </c>
      <c r="C30" s="12" t="s">
        <v>33</v>
      </c>
      <c r="D30" s="12" t="s">
        <v>15</v>
      </c>
      <c r="E30" s="12" t="s">
        <v>16</v>
      </c>
      <c r="F30" s="12">
        <v>33</v>
      </c>
      <c r="G30" s="13">
        <v>8000</v>
      </c>
      <c r="H30" s="13">
        <f t="shared" si="0"/>
        <v>264000</v>
      </c>
    </row>
    <row r="31" spans="1:8" x14ac:dyDescent="0.3">
      <c r="A31" s="11" t="s">
        <v>58</v>
      </c>
      <c r="B31" s="12" t="s">
        <v>26</v>
      </c>
      <c r="C31" s="12" t="s">
        <v>22</v>
      </c>
      <c r="D31" s="12" t="s">
        <v>37</v>
      </c>
      <c r="E31" s="12" t="s">
        <v>28</v>
      </c>
      <c r="F31" s="12">
        <v>40</v>
      </c>
      <c r="G31" s="13">
        <v>85</v>
      </c>
      <c r="H31" s="13">
        <f t="shared" si="0"/>
        <v>3400</v>
      </c>
    </row>
    <row r="32" spans="1:8" x14ac:dyDescent="0.3">
      <c r="A32" s="11" t="s">
        <v>59</v>
      </c>
      <c r="B32" s="12" t="s">
        <v>18</v>
      </c>
      <c r="C32" s="12" t="s">
        <v>49</v>
      </c>
      <c r="D32" s="12" t="s">
        <v>40</v>
      </c>
      <c r="E32" s="12" t="s">
        <v>16</v>
      </c>
      <c r="F32" s="12">
        <v>43</v>
      </c>
      <c r="G32" s="13">
        <v>1650</v>
      </c>
      <c r="H32" s="13">
        <f t="shared" si="0"/>
        <v>70950</v>
      </c>
    </row>
    <row r="33" spans="1:8" x14ac:dyDescent="0.3">
      <c r="A33" s="11" t="s">
        <v>60</v>
      </c>
      <c r="B33" s="12" t="s">
        <v>9</v>
      </c>
      <c r="C33" s="12" t="s">
        <v>56</v>
      </c>
      <c r="D33" s="12" t="s">
        <v>37</v>
      </c>
      <c r="E33" s="12" t="s">
        <v>28</v>
      </c>
      <c r="F33" s="12">
        <v>54</v>
      </c>
      <c r="G33" s="13">
        <v>85</v>
      </c>
      <c r="H33" s="13">
        <f t="shared" si="0"/>
        <v>4590</v>
      </c>
    </row>
    <row r="34" spans="1:8" x14ac:dyDescent="0.3">
      <c r="A34" s="11" t="s">
        <v>60</v>
      </c>
      <c r="B34" s="12" t="s">
        <v>9</v>
      </c>
      <c r="C34" s="12" t="s">
        <v>53</v>
      </c>
      <c r="D34" s="12" t="s">
        <v>37</v>
      </c>
      <c r="E34" s="12" t="s">
        <v>28</v>
      </c>
      <c r="F34" s="12">
        <v>26</v>
      </c>
      <c r="G34" s="13">
        <v>85</v>
      </c>
      <c r="H34" s="13">
        <f t="shared" ref="H34:H65" si="1">F34*G34</f>
        <v>2210</v>
      </c>
    </row>
    <row r="35" spans="1:8" x14ac:dyDescent="0.3">
      <c r="A35" s="11" t="s">
        <v>60</v>
      </c>
      <c r="B35" s="12" t="s">
        <v>9</v>
      </c>
      <c r="C35" s="12" t="s">
        <v>42</v>
      </c>
      <c r="D35" s="12" t="s">
        <v>61</v>
      </c>
      <c r="E35" s="12" t="s">
        <v>39</v>
      </c>
      <c r="F35" s="12">
        <v>36</v>
      </c>
      <c r="G35" s="13">
        <v>32000</v>
      </c>
      <c r="H35" s="13">
        <f t="shared" si="1"/>
        <v>1152000</v>
      </c>
    </row>
    <row r="36" spans="1:8" x14ac:dyDescent="0.3">
      <c r="A36" s="11" t="s">
        <v>62</v>
      </c>
      <c r="B36" s="12" t="s">
        <v>18</v>
      </c>
      <c r="C36" s="12" t="s">
        <v>53</v>
      </c>
      <c r="D36" s="12" t="s">
        <v>38</v>
      </c>
      <c r="E36" s="12" t="s">
        <v>39</v>
      </c>
      <c r="F36" s="12">
        <v>44</v>
      </c>
      <c r="G36" s="13">
        <v>150</v>
      </c>
      <c r="H36" s="13">
        <f t="shared" si="1"/>
        <v>6600</v>
      </c>
    </row>
    <row r="37" spans="1:8" x14ac:dyDescent="0.3">
      <c r="A37" s="11" t="s">
        <v>63</v>
      </c>
      <c r="B37" s="12" t="s">
        <v>26</v>
      </c>
      <c r="C37" s="12" t="s">
        <v>10</v>
      </c>
      <c r="D37" s="12" t="s">
        <v>15</v>
      </c>
      <c r="E37" s="12" t="s">
        <v>16</v>
      </c>
      <c r="F37" s="12">
        <v>56</v>
      </c>
      <c r="G37" s="13">
        <v>8000</v>
      </c>
      <c r="H37" s="13">
        <f t="shared" si="1"/>
        <v>448000</v>
      </c>
    </row>
    <row r="38" spans="1:8" x14ac:dyDescent="0.3">
      <c r="A38" s="11" t="s">
        <v>64</v>
      </c>
      <c r="B38" s="12" t="s">
        <v>9</v>
      </c>
      <c r="C38" s="12" t="s">
        <v>30</v>
      </c>
      <c r="D38" s="12" t="s">
        <v>23</v>
      </c>
      <c r="E38" s="12" t="s">
        <v>16</v>
      </c>
      <c r="F38" s="12">
        <v>29</v>
      </c>
      <c r="G38" s="13">
        <v>4500</v>
      </c>
      <c r="H38" s="13">
        <f t="shared" si="1"/>
        <v>130500</v>
      </c>
    </row>
    <row r="39" spans="1:8" x14ac:dyDescent="0.3">
      <c r="A39" s="11" t="s">
        <v>65</v>
      </c>
      <c r="B39" s="12" t="s">
        <v>13</v>
      </c>
      <c r="C39" s="12" t="s">
        <v>56</v>
      </c>
      <c r="D39" s="12" t="s">
        <v>20</v>
      </c>
      <c r="E39" s="12" t="s">
        <v>16</v>
      </c>
      <c r="F39" s="12">
        <v>35</v>
      </c>
      <c r="G39" s="13">
        <v>2800</v>
      </c>
      <c r="H39" s="13">
        <f t="shared" si="1"/>
        <v>98000</v>
      </c>
    </row>
    <row r="40" spans="1:8" x14ac:dyDescent="0.3">
      <c r="A40" s="11" t="s">
        <v>66</v>
      </c>
      <c r="B40" s="12" t="s">
        <v>32</v>
      </c>
      <c r="C40" s="12" t="s">
        <v>22</v>
      </c>
      <c r="D40" s="12" t="s">
        <v>35</v>
      </c>
      <c r="E40" s="12" t="s">
        <v>28</v>
      </c>
      <c r="F40" s="12">
        <v>36</v>
      </c>
      <c r="G40" s="13">
        <v>4500</v>
      </c>
      <c r="H40" s="13">
        <f t="shared" si="1"/>
        <v>162000</v>
      </c>
    </row>
    <row r="41" spans="1:8" x14ac:dyDescent="0.3">
      <c r="A41" s="11" t="s">
        <v>66</v>
      </c>
      <c r="B41" s="12" t="s">
        <v>18</v>
      </c>
      <c r="C41" s="12" t="s">
        <v>53</v>
      </c>
      <c r="D41" s="12" t="s">
        <v>50</v>
      </c>
      <c r="E41" s="12" t="s">
        <v>28</v>
      </c>
      <c r="F41" s="12">
        <v>4</v>
      </c>
      <c r="G41" s="13">
        <v>1350</v>
      </c>
      <c r="H41" s="13">
        <f t="shared" si="1"/>
        <v>5400</v>
      </c>
    </row>
    <row r="42" spans="1:8" x14ac:dyDescent="0.3">
      <c r="A42" s="11" t="s">
        <v>67</v>
      </c>
      <c r="B42" s="12" t="s">
        <v>32</v>
      </c>
      <c r="C42" s="12" t="s">
        <v>56</v>
      </c>
      <c r="D42" s="12" t="s">
        <v>50</v>
      </c>
      <c r="E42" s="12" t="s">
        <v>28</v>
      </c>
      <c r="F42" s="12">
        <v>6</v>
      </c>
      <c r="G42" s="13">
        <v>1350</v>
      </c>
      <c r="H42" s="13">
        <f t="shared" si="1"/>
        <v>8100</v>
      </c>
    </row>
    <row r="43" spans="1:8" x14ac:dyDescent="0.3">
      <c r="A43" s="11" t="s">
        <v>67</v>
      </c>
      <c r="B43" s="12" t="s">
        <v>32</v>
      </c>
      <c r="C43" s="12" t="s">
        <v>22</v>
      </c>
      <c r="D43" s="12" t="s">
        <v>11</v>
      </c>
      <c r="E43" s="12" t="s">
        <v>12</v>
      </c>
      <c r="F43" s="12">
        <v>6</v>
      </c>
      <c r="G43" s="13">
        <v>1200</v>
      </c>
      <c r="H43" s="13">
        <f t="shared" si="1"/>
        <v>7200</v>
      </c>
    </row>
    <row r="44" spans="1:8" x14ac:dyDescent="0.3">
      <c r="A44" s="11" t="s">
        <v>67</v>
      </c>
      <c r="B44" s="12" t="s">
        <v>18</v>
      </c>
      <c r="C44" s="12" t="s">
        <v>56</v>
      </c>
      <c r="D44" s="12" t="s">
        <v>61</v>
      </c>
      <c r="E44" s="12" t="s">
        <v>39</v>
      </c>
      <c r="F44" s="12">
        <v>15</v>
      </c>
      <c r="G44" s="13">
        <v>32000</v>
      </c>
      <c r="H44" s="13">
        <f t="shared" si="1"/>
        <v>480000</v>
      </c>
    </row>
    <row r="45" spans="1:8" x14ac:dyDescent="0.3">
      <c r="A45" s="11" t="s">
        <v>68</v>
      </c>
      <c r="B45" s="12" t="s">
        <v>18</v>
      </c>
      <c r="C45" s="12" t="s">
        <v>30</v>
      </c>
      <c r="D45" s="12" t="s">
        <v>15</v>
      </c>
      <c r="E45" s="12" t="s">
        <v>16</v>
      </c>
      <c r="F45" s="12">
        <v>30</v>
      </c>
      <c r="G45" s="13">
        <v>8000</v>
      </c>
      <c r="H45" s="13">
        <f t="shared" si="1"/>
        <v>240000</v>
      </c>
    </row>
    <row r="46" spans="1:8" x14ac:dyDescent="0.3">
      <c r="A46" s="11" t="s">
        <v>69</v>
      </c>
      <c r="B46" s="12" t="s">
        <v>9</v>
      </c>
      <c r="C46" s="12" t="s">
        <v>56</v>
      </c>
      <c r="D46" s="12" t="s">
        <v>38</v>
      </c>
      <c r="E46" s="12" t="s">
        <v>39</v>
      </c>
      <c r="F46" s="12">
        <v>47</v>
      </c>
      <c r="G46" s="13">
        <v>150</v>
      </c>
      <c r="H46" s="13">
        <f t="shared" si="1"/>
        <v>7050</v>
      </c>
    </row>
    <row r="47" spans="1:8" x14ac:dyDescent="0.3">
      <c r="A47" s="11" t="s">
        <v>69</v>
      </c>
      <c r="B47" s="12" t="s">
        <v>13</v>
      </c>
      <c r="C47" s="12" t="s">
        <v>42</v>
      </c>
      <c r="D47" s="12" t="s">
        <v>43</v>
      </c>
      <c r="E47" s="12" t="s">
        <v>44</v>
      </c>
      <c r="F47" s="12">
        <v>35</v>
      </c>
      <c r="G47" s="13">
        <v>1800</v>
      </c>
      <c r="H47" s="13">
        <f t="shared" si="1"/>
        <v>63000</v>
      </c>
    </row>
    <row r="48" spans="1:8" x14ac:dyDescent="0.3">
      <c r="A48" s="11" t="s">
        <v>69</v>
      </c>
      <c r="B48" s="12" t="s">
        <v>26</v>
      </c>
      <c r="C48" s="12" t="s">
        <v>56</v>
      </c>
      <c r="D48" s="12" t="s">
        <v>23</v>
      </c>
      <c r="E48" s="12" t="s">
        <v>16</v>
      </c>
      <c r="F48" s="12">
        <v>38</v>
      </c>
      <c r="G48" s="13">
        <v>4500</v>
      </c>
      <c r="H48" s="13">
        <f t="shared" si="1"/>
        <v>171000</v>
      </c>
    </row>
    <row r="49" spans="1:8" x14ac:dyDescent="0.3">
      <c r="A49" s="11" t="s">
        <v>69</v>
      </c>
      <c r="B49" s="12" t="s">
        <v>13</v>
      </c>
      <c r="C49" s="12" t="s">
        <v>19</v>
      </c>
      <c r="D49" s="12" t="s">
        <v>43</v>
      </c>
      <c r="E49" s="12" t="s">
        <v>44</v>
      </c>
      <c r="F49" s="12">
        <v>10</v>
      </c>
      <c r="G49" s="13">
        <v>1800</v>
      </c>
      <c r="H49" s="13">
        <f t="shared" si="1"/>
        <v>18000</v>
      </c>
    </row>
    <row r="50" spans="1:8" x14ac:dyDescent="0.3">
      <c r="A50" s="11" t="s">
        <v>70</v>
      </c>
      <c r="B50" s="12" t="s">
        <v>32</v>
      </c>
      <c r="C50" s="12" t="s">
        <v>42</v>
      </c>
      <c r="D50" s="12" t="s">
        <v>54</v>
      </c>
      <c r="E50" s="12" t="s">
        <v>39</v>
      </c>
      <c r="F50" s="12">
        <v>18</v>
      </c>
      <c r="G50" s="13">
        <v>1450</v>
      </c>
      <c r="H50" s="13">
        <f t="shared" si="1"/>
        <v>26100</v>
      </c>
    </row>
    <row r="51" spans="1:8" x14ac:dyDescent="0.3">
      <c r="A51" s="11" t="s">
        <v>70</v>
      </c>
      <c r="B51" s="12" t="s">
        <v>18</v>
      </c>
      <c r="C51" s="12" t="s">
        <v>42</v>
      </c>
      <c r="D51" s="12" t="s">
        <v>71</v>
      </c>
      <c r="E51" s="12" t="s">
        <v>44</v>
      </c>
      <c r="F51" s="12">
        <v>52</v>
      </c>
      <c r="G51" s="13">
        <v>6200</v>
      </c>
      <c r="H51" s="13">
        <f t="shared" si="1"/>
        <v>322400</v>
      </c>
    </row>
    <row r="52" spans="1:8" x14ac:dyDescent="0.3">
      <c r="A52" s="11" t="s">
        <v>72</v>
      </c>
      <c r="B52" s="12" t="s">
        <v>32</v>
      </c>
      <c r="C52" s="12" t="s">
        <v>19</v>
      </c>
      <c r="D52" s="12" t="s">
        <v>50</v>
      </c>
      <c r="E52" s="12" t="s">
        <v>28</v>
      </c>
      <c r="F52" s="12">
        <v>35</v>
      </c>
      <c r="G52" s="13">
        <v>1350</v>
      </c>
      <c r="H52" s="13">
        <f t="shared" si="1"/>
        <v>47250</v>
      </c>
    </row>
    <row r="53" spans="1:8" x14ac:dyDescent="0.3">
      <c r="A53" s="11" t="s">
        <v>72</v>
      </c>
      <c r="B53" s="12" t="s">
        <v>9</v>
      </c>
      <c r="C53" s="12" t="s">
        <v>30</v>
      </c>
      <c r="D53" s="12" t="s">
        <v>54</v>
      </c>
      <c r="E53" s="12" t="s">
        <v>39</v>
      </c>
      <c r="F53" s="12">
        <v>24</v>
      </c>
      <c r="G53" s="13">
        <v>1450</v>
      </c>
      <c r="H53" s="13">
        <f t="shared" si="1"/>
        <v>34800</v>
      </c>
    </row>
    <row r="54" spans="1:8" x14ac:dyDescent="0.3">
      <c r="A54" s="11" t="s">
        <v>72</v>
      </c>
      <c r="B54" s="12" t="s">
        <v>26</v>
      </c>
      <c r="C54" s="12" t="s">
        <v>49</v>
      </c>
      <c r="D54" s="12" t="s">
        <v>46</v>
      </c>
      <c r="E54" s="12" t="s">
        <v>44</v>
      </c>
      <c r="F54" s="12">
        <v>45</v>
      </c>
      <c r="G54" s="13">
        <v>3200</v>
      </c>
      <c r="H54" s="13">
        <f t="shared" si="1"/>
        <v>144000</v>
      </c>
    </row>
    <row r="55" spans="1:8" x14ac:dyDescent="0.3">
      <c r="A55" s="11" t="s">
        <v>72</v>
      </c>
      <c r="B55" s="12" t="s">
        <v>32</v>
      </c>
      <c r="C55" s="12" t="s">
        <v>10</v>
      </c>
      <c r="D55" s="12" t="s">
        <v>23</v>
      </c>
      <c r="E55" s="12" t="s">
        <v>16</v>
      </c>
      <c r="F55" s="12">
        <v>17</v>
      </c>
      <c r="G55" s="13">
        <v>4500</v>
      </c>
      <c r="H55" s="13">
        <f t="shared" si="1"/>
        <v>76500</v>
      </c>
    </row>
    <row r="56" spans="1:8" x14ac:dyDescent="0.3">
      <c r="A56" s="11" t="s">
        <v>72</v>
      </c>
      <c r="B56" s="12" t="s">
        <v>32</v>
      </c>
      <c r="C56" s="12" t="s">
        <v>53</v>
      </c>
      <c r="D56" s="12" t="s">
        <v>15</v>
      </c>
      <c r="E56" s="12" t="s">
        <v>16</v>
      </c>
      <c r="F56" s="12">
        <v>3</v>
      </c>
      <c r="G56" s="13">
        <v>8000</v>
      </c>
      <c r="H56" s="13">
        <f t="shared" si="1"/>
        <v>24000</v>
      </c>
    </row>
    <row r="57" spans="1:8" x14ac:dyDescent="0.3">
      <c r="A57" s="11" t="s">
        <v>73</v>
      </c>
      <c r="B57" s="12" t="s">
        <v>18</v>
      </c>
      <c r="C57" s="12" t="s">
        <v>19</v>
      </c>
      <c r="D57" s="12" t="s">
        <v>34</v>
      </c>
      <c r="E57" s="12" t="s">
        <v>12</v>
      </c>
      <c r="F57" s="12">
        <v>14</v>
      </c>
      <c r="G57" s="13">
        <v>3500</v>
      </c>
      <c r="H57" s="13">
        <f t="shared" si="1"/>
        <v>49000</v>
      </c>
    </row>
    <row r="58" spans="1:8" x14ac:dyDescent="0.3">
      <c r="A58" s="11" t="s">
        <v>73</v>
      </c>
      <c r="B58" s="12" t="s">
        <v>13</v>
      </c>
      <c r="C58" s="12" t="s">
        <v>56</v>
      </c>
      <c r="D58" s="12" t="s">
        <v>37</v>
      </c>
      <c r="E58" s="12" t="s">
        <v>28</v>
      </c>
      <c r="F58" s="12">
        <v>28</v>
      </c>
      <c r="G58" s="13">
        <v>85</v>
      </c>
      <c r="H58" s="13">
        <f t="shared" si="1"/>
        <v>2380</v>
      </c>
    </row>
    <row r="59" spans="1:8" x14ac:dyDescent="0.3">
      <c r="A59" s="11" t="s">
        <v>74</v>
      </c>
      <c r="B59" s="12" t="s">
        <v>26</v>
      </c>
      <c r="C59" s="12" t="s">
        <v>19</v>
      </c>
      <c r="D59" s="12" t="s">
        <v>38</v>
      </c>
      <c r="E59" s="12" t="s">
        <v>39</v>
      </c>
      <c r="F59" s="12">
        <v>29</v>
      </c>
      <c r="G59" s="13">
        <v>150</v>
      </c>
      <c r="H59" s="13">
        <f t="shared" si="1"/>
        <v>4350</v>
      </c>
    </row>
    <row r="60" spans="1:8" x14ac:dyDescent="0.3">
      <c r="A60" s="11" t="s">
        <v>75</v>
      </c>
      <c r="B60" s="12" t="s">
        <v>32</v>
      </c>
      <c r="C60" s="12" t="s">
        <v>19</v>
      </c>
      <c r="D60" s="12" t="s">
        <v>35</v>
      </c>
      <c r="E60" s="12" t="s">
        <v>28</v>
      </c>
      <c r="F60" s="12">
        <v>43</v>
      </c>
      <c r="G60" s="13">
        <v>4500</v>
      </c>
      <c r="H60" s="13">
        <f t="shared" si="1"/>
        <v>193500</v>
      </c>
    </row>
    <row r="61" spans="1:8" x14ac:dyDescent="0.3">
      <c r="A61" s="11" t="s">
        <v>76</v>
      </c>
      <c r="B61" s="12" t="s">
        <v>18</v>
      </c>
      <c r="C61" s="12" t="s">
        <v>33</v>
      </c>
      <c r="D61" s="12" t="s">
        <v>11</v>
      </c>
      <c r="E61" s="12" t="s">
        <v>12</v>
      </c>
      <c r="F61" s="12">
        <v>33</v>
      </c>
      <c r="G61" s="13">
        <v>1200</v>
      </c>
      <c r="H61" s="13">
        <f t="shared" si="1"/>
        <v>39600</v>
      </c>
    </row>
    <row r="62" spans="1:8" x14ac:dyDescent="0.3">
      <c r="A62" s="11" t="s">
        <v>76</v>
      </c>
      <c r="B62" s="12" t="s">
        <v>26</v>
      </c>
      <c r="C62" s="12" t="s">
        <v>53</v>
      </c>
      <c r="D62" s="12" t="s">
        <v>40</v>
      </c>
      <c r="E62" s="12" t="s">
        <v>16</v>
      </c>
      <c r="F62" s="12">
        <v>8</v>
      </c>
      <c r="G62" s="13">
        <v>1650</v>
      </c>
      <c r="H62" s="13">
        <f t="shared" si="1"/>
        <v>13200</v>
      </c>
    </row>
    <row r="63" spans="1:8" x14ac:dyDescent="0.3">
      <c r="A63" s="11" t="s">
        <v>77</v>
      </c>
      <c r="B63" s="12" t="s">
        <v>18</v>
      </c>
      <c r="C63" s="12" t="s">
        <v>56</v>
      </c>
      <c r="D63" s="12" t="s">
        <v>54</v>
      </c>
      <c r="E63" s="12" t="s">
        <v>39</v>
      </c>
      <c r="F63" s="12">
        <v>7</v>
      </c>
      <c r="G63" s="13">
        <v>1450</v>
      </c>
      <c r="H63" s="13">
        <f t="shared" si="1"/>
        <v>10150</v>
      </c>
    </row>
    <row r="64" spans="1:8" x14ac:dyDescent="0.3">
      <c r="A64" s="11" t="s">
        <v>77</v>
      </c>
      <c r="B64" s="12" t="s">
        <v>18</v>
      </c>
      <c r="C64" s="12" t="s">
        <v>19</v>
      </c>
      <c r="D64" s="12" t="s">
        <v>43</v>
      </c>
      <c r="E64" s="12" t="s">
        <v>44</v>
      </c>
      <c r="F64" s="12">
        <v>13</v>
      </c>
      <c r="G64" s="13">
        <v>1800</v>
      </c>
      <c r="H64" s="13">
        <f t="shared" si="1"/>
        <v>23400</v>
      </c>
    </row>
    <row r="65" spans="1:8" x14ac:dyDescent="0.3">
      <c r="A65" s="11" t="s">
        <v>78</v>
      </c>
      <c r="B65" s="12" t="s">
        <v>18</v>
      </c>
      <c r="C65" s="12" t="s">
        <v>19</v>
      </c>
      <c r="D65" s="12" t="s">
        <v>47</v>
      </c>
      <c r="E65" s="12" t="s">
        <v>16</v>
      </c>
      <c r="F65" s="12">
        <v>19</v>
      </c>
      <c r="G65" s="13">
        <v>2200</v>
      </c>
      <c r="H65" s="13">
        <f t="shared" si="1"/>
        <v>41800</v>
      </c>
    </row>
    <row r="66" spans="1:8" x14ac:dyDescent="0.3">
      <c r="A66" s="11" t="s">
        <v>79</v>
      </c>
      <c r="B66" s="12" t="s">
        <v>13</v>
      </c>
      <c r="C66" s="12" t="s">
        <v>53</v>
      </c>
      <c r="D66" s="12" t="s">
        <v>15</v>
      </c>
      <c r="E66" s="12" t="s">
        <v>16</v>
      </c>
      <c r="F66" s="12">
        <v>52</v>
      </c>
      <c r="G66" s="13">
        <v>8000</v>
      </c>
      <c r="H66" s="13">
        <f t="shared" ref="H66:H97" si="2">F66*G66</f>
        <v>416000</v>
      </c>
    </row>
    <row r="67" spans="1:8" x14ac:dyDescent="0.3">
      <c r="A67" s="11" t="s">
        <v>80</v>
      </c>
      <c r="B67" s="12" t="s">
        <v>32</v>
      </c>
      <c r="C67" s="12" t="s">
        <v>22</v>
      </c>
      <c r="D67" s="12" t="s">
        <v>40</v>
      </c>
      <c r="E67" s="12" t="s">
        <v>16</v>
      </c>
      <c r="F67" s="12">
        <v>59</v>
      </c>
      <c r="G67" s="13">
        <v>1650</v>
      </c>
      <c r="H67" s="13">
        <f t="shared" si="2"/>
        <v>97350</v>
      </c>
    </row>
    <row r="68" spans="1:8" x14ac:dyDescent="0.3">
      <c r="A68" s="11" t="s">
        <v>80</v>
      </c>
      <c r="B68" s="12" t="s">
        <v>9</v>
      </c>
      <c r="C68" s="12" t="s">
        <v>22</v>
      </c>
      <c r="D68" s="12" t="s">
        <v>71</v>
      </c>
      <c r="E68" s="12" t="s">
        <v>44</v>
      </c>
      <c r="F68" s="12">
        <v>28</v>
      </c>
      <c r="G68" s="13">
        <v>6200</v>
      </c>
      <c r="H68" s="13">
        <f t="shared" si="2"/>
        <v>173600</v>
      </c>
    </row>
    <row r="69" spans="1:8" x14ac:dyDescent="0.3">
      <c r="A69" s="11" t="s">
        <v>81</v>
      </c>
      <c r="B69" s="12" t="s">
        <v>18</v>
      </c>
      <c r="C69" s="12" t="s">
        <v>22</v>
      </c>
      <c r="D69" s="12" t="s">
        <v>37</v>
      </c>
      <c r="E69" s="12" t="s">
        <v>28</v>
      </c>
      <c r="F69" s="12">
        <v>54</v>
      </c>
      <c r="G69" s="13">
        <v>85</v>
      </c>
      <c r="H69" s="13">
        <f t="shared" si="2"/>
        <v>4590</v>
      </c>
    </row>
    <row r="70" spans="1:8" x14ac:dyDescent="0.3">
      <c r="A70" s="11" t="s">
        <v>81</v>
      </c>
      <c r="B70" s="12" t="s">
        <v>9</v>
      </c>
      <c r="C70" s="12" t="s">
        <v>42</v>
      </c>
      <c r="D70" s="12" t="s">
        <v>40</v>
      </c>
      <c r="E70" s="12" t="s">
        <v>16</v>
      </c>
      <c r="F70" s="12">
        <v>17</v>
      </c>
      <c r="G70" s="13">
        <v>1650</v>
      </c>
      <c r="H70" s="13">
        <f t="shared" si="2"/>
        <v>28050</v>
      </c>
    </row>
    <row r="71" spans="1:8" x14ac:dyDescent="0.3">
      <c r="A71" s="11" t="s">
        <v>82</v>
      </c>
      <c r="B71" s="12" t="s">
        <v>9</v>
      </c>
      <c r="C71" s="12" t="s">
        <v>19</v>
      </c>
      <c r="D71" s="12" t="s">
        <v>15</v>
      </c>
      <c r="E71" s="12" t="s">
        <v>16</v>
      </c>
      <c r="F71" s="12">
        <v>3</v>
      </c>
      <c r="G71" s="13">
        <v>8000</v>
      </c>
      <c r="H71" s="13">
        <f t="shared" si="2"/>
        <v>24000</v>
      </c>
    </row>
    <row r="72" spans="1:8" x14ac:dyDescent="0.3">
      <c r="A72" s="11" t="s">
        <v>83</v>
      </c>
      <c r="B72" s="12" t="s">
        <v>32</v>
      </c>
      <c r="C72" s="12" t="s">
        <v>49</v>
      </c>
      <c r="D72" s="12" t="s">
        <v>84</v>
      </c>
      <c r="E72" s="12" t="s">
        <v>28</v>
      </c>
      <c r="F72" s="12">
        <v>21</v>
      </c>
      <c r="G72" s="13">
        <v>15000</v>
      </c>
      <c r="H72" s="13">
        <f t="shared" si="2"/>
        <v>315000</v>
      </c>
    </row>
    <row r="73" spans="1:8" x14ac:dyDescent="0.3">
      <c r="A73" s="11" t="s">
        <v>85</v>
      </c>
      <c r="B73" s="12" t="s">
        <v>18</v>
      </c>
      <c r="C73" s="12" t="s">
        <v>14</v>
      </c>
      <c r="D73" s="12" t="s">
        <v>34</v>
      </c>
      <c r="E73" s="12" t="s">
        <v>12</v>
      </c>
      <c r="F73" s="12">
        <v>51</v>
      </c>
      <c r="G73" s="13">
        <v>3500</v>
      </c>
      <c r="H73" s="13">
        <f t="shared" si="2"/>
        <v>178500</v>
      </c>
    </row>
    <row r="74" spans="1:8" x14ac:dyDescent="0.3">
      <c r="A74" s="11" t="s">
        <v>85</v>
      </c>
      <c r="B74" s="12" t="s">
        <v>32</v>
      </c>
      <c r="C74" s="12" t="s">
        <v>49</v>
      </c>
      <c r="D74" s="12" t="s">
        <v>20</v>
      </c>
      <c r="E74" s="12" t="s">
        <v>16</v>
      </c>
      <c r="F74" s="12">
        <v>51</v>
      </c>
      <c r="G74" s="13">
        <v>2800</v>
      </c>
      <c r="H74" s="13">
        <f t="shared" si="2"/>
        <v>142800</v>
      </c>
    </row>
    <row r="75" spans="1:8" x14ac:dyDescent="0.3">
      <c r="A75" s="11" t="s">
        <v>85</v>
      </c>
      <c r="B75" s="12" t="s">
        <v>13</v>
      </c>
      <c r="C75" s="12" t="s">
        <v>30</v>
      </c>
      <c r="D75" s="12" t="s">
        <v>37</v>
      </c>
      <c r="E75" s="12" t="s">
        <v>28</v>
      </c>
      <c r="F75" s="12">
        <v>36</v>
      </c>
      <c r="G75" s="13">
        <v>85</v>
      </c>
      <c r="H75" s="13">
        <f t="shared" si="2"/>
        <v>3060</v>
      </c>
    </row>
    <row r="76" spans="1:8" x14ac:dyDescent="0.3">
      <c r="A76" s="11" t="s">
        <v>86</v>
      </c>
      <c r="B76" s="12" t="s">
        <v>13</v>
      </c>
      <c r="C76" s="12" t="s">
        <v>49</v>
      </c>
      <c r="D76" s="12" t="s">
        <v>71</v>
      </c>
      <c r="E76" s="12" t="s">
        <v>44</v>
      </c>
      <c r="F76" s="12">
        <v>14</v>
      </c>
      <c r="G76" s="13">
        <v>6200</v>
      </c>
      <c r="H76" s="13">
        <f t="shared" si="2"/>
        <v>86800</v>
      </c>
    </row>
    <row r="77" spans="1:8" x14ac:dyDescent="0.3">
      <c r="A77" s="11" t="s">
        <v>87</v>
      </c>
      <c r="B77" s="12" t="s">
        <v>18</v>
      </c>
      <c r="C77" s="12" t="s">
        <v>22</v>
      </c>
      <c r="D77" s="12" t="s">
        <v>50</v>
      </c>
      <c r="E77" s="12" t="s">
        <v>28</v>
      </c>
      <c r="F77" s="12">
        <v>44</v>
      </c>
      <c r="G77" s="13">
        <v>1350</v>
      </c>
      <c r="H77" s="13">
        <f t="shared" si="2"/>
        <v>59400</v>
      </c>
    </row>
    <row r="78" spans="1:8" x14ac:dyDescent="0.3">
      <c r="A78" s="11" t="s">
        <v>87</v>
      </c>
      <c r="B78" s="12" t="s">
        <v>9</v>
      </c>
      <c r="C78" s="12" t="s">
        <v>53</v>
      </c>
      <c r="D78" s="12" t="s">
        <v>34</v>
      </c>
      <c r="E78" s="12" t="s">
        <v>12</v>
      </c>
      <c r="F78" s="12">
        <v>30</v>
      </c>
      <c r="G78" s="13">
        <v>3500</v>
      </c>
      <c r="H78" s="13">
        <f t="shared" si="2"/>
        <v>105000</v>
      </c>
    </row>
    <row r="79" spans="1:8" x14ac:dyDescent="0.3">
      <c r="A79" s="11" t="s">
        <v>88</v>
      </c>
      <c r="B79" s="12" t="s">
        <v>9</v>
      </c>
      <c r="C79" s="12" t="s">
        <v>30</v>
      </c>
      <c r="D79" s="12" t="s">
        <v>50</v>
      </c>
      <c r="E79" s="12" t="s">
        <v>28</v>
      </c>
      <c r="F79" s="12">
        <v>1</v>
      </c>
      <c r="G79" s="13">
        <v>1350</v>
      </c>
      <c r="H79" s="13">
        <f t="shared" si="2"/>
        <v>1350</v>
      </c>
    </row>
    <row r="80" spans="1:8" x14ac:dyDescent="0.3">
      <c r="A80" s="11" t="s">
        <v>88</v>
      </c>
      <c r="B80" s="12" t="s">
        <v>26</v>
      </c>
      <c r="C80" s="12" t="s">
        <v>19</v>
      </c>
      <c r="D80" s="12" t="s">
        <v>40</v>
      </c>
      <c r="E80" s="12" t="s">
        <v>16</v>
      </c>
      <c r="F80" s="12">
        <v>31</v>
      </c>
      <c r="G80" s="13">
        <v>1650</v>
      </c>
      <c r="H80" s="13">
        <f t="shared" si="2"/>
        <v>51150</v>
      </c>
    </row>
    <row r="81" spans="1:8" x14ac:dyDescent="0.3">
      <c r="A81" s="11" t="s">
        <v>88</v>
      </c>
      <c r="B81" s="12" t="s">
        <v>9</v>
      </c>
      <c r="C81" s="12" t="s">
        <v>22</v>
      </c>
      <c r="D81" s="12" t="s">
        <v>46</v>
      </c>
      <c r="E81" s="12" t="s">
        <v>44</v>
      </c>
      <c r="F81" s="12">
        <v>54</v>
      </c>
      <c r="G81" s="13">
        <v>3200</v>
      </c>
      <c r="H81" s="13">
        <f t="shared" si="2"/>
        <v>172800</v>
      </c>
    </row>
    <row r="82" spans="1:8" x14ac:dyDescent="0.3">
      <c r="A82" s="11" t="s">
        <v>89</v>
      </c>
      <c r="B82" s="12" t="s">
        <v>18</v>
      </c>
      <c r="C82" s="12" t="s">
        <v>56</v>
      </c>
      <c r="D82" s="12" t="s">
        <v>61</v>
      </c>
      <c r="E82" s="12" t="s">
        <v>39</v>
      </c>
      <c r="F82" s="12">
        <v>26</v>
      </c>
      <c r="G82" s="13">
        <v>32000</v>
      </c>
      <c r="H82" s="13">
        <f t="shared" si="2"/>
        <v>832000</v>
      </c>
    </row>
    <row r="83" spans="1:8" x14ac:dyDescent="0.3">
      <c r="A83" s="11" t="s">
        <v>89</v>
      </c>
      <c r="B83" s="12" t="s">
        <v>9</v>
      </c>
      <c r="C83" s="12" t="s">
        <v>22</v>
      </c>
      <c r="D83" s="12" t="s">
        <v>34</v>
      </c>
      <c r="E83" s="12" t="s">
        <v>12</v>
      </c>
      <c r="F83" s="12">
        <v>49</v>
      </c>
      <c r="G83" s="13">
        <v>3500</v>
      </c>
      <c r="H83" s="13">
        <f t="shared" si="2"/>
        <v>171500</v>
      </c>
    </row>
    <row r="84" spans="1:8" x14ac:dyDescent="0.3">
      <c r="A84" s="11" t="s">
        <v>90</v>
      </c>
      <c r="B84" s="12" t="s">
        <v>26</v>
      </c>
      <c r="C84" s="12" t="s">
        <v>19</v>
      </c>
      <c r="D84" s="12" t="s">
        <v>27</v>
      </c>
      <c r="E84" s="12" t="s">
        <v>28</v>
      </c>
      <c r="F84" s="12">
        <v>7</v>
      </c>
      <c r="G84" s="13">
        <v>950</v>
      </c>
      <c r="H84" s="13">
        <f t="shared" si="2"/>
        <v>6650</v>
      </c>
    </row>
    <row r="85" spans="1:8" x14ac:dyDescent="0.3">
      <c r="A85" s="11" t="s">
        <v>90</v>
      </c>
      <c r="B85" s="12" t="s">
        <v>32</v>
      </c>
      <c r="C85" s="12" t="s">
        <v>19</v>
      </c>
      <c r="D85" s="12" t="s">
        <v>84</v>
      </c>
      <c r="E85" s="12" t="s">
        <v>28</v>
      </c>
      <c r="F85" s="12">
        <v>23</v>
      </c>
      <c r="G85" s="13">
        <v>15000</v>
      </c>
      <c r="H85" s="13">
        <f t="shared" si="2"/>
        <v>345000</v>
      </c>
    </row>
    <row r="86" spans="1:8" x14ac:dyDescent="0.3">
      <c r="A86" s="11" t="s">
        <v>91</v>
      </c>
      <c r="B86" s="12" t="s">
        <v>18</v>
      </c>
      <c r="C86" s="12" t="s">
        <v>22</v>
      </c>
      <c r="D86" s="12" t="s">
        <v>71</v>
      </c>
      <c r="E86" s="12" t="s">
        <v>44</v>
      </c>
      <c r="F86" s="12">
        <v>9</v>
      </c>
      <c r="G86" s="13">
        <v>6200</v>
      </c>
      <c r="H86" s="13">
        <f t="shared" si="2"/>
        <v>55800</v>
      </c>
    </row>
    <row r="87" spans="1:8" x14ac:dyDescent="0.3">
      <c r="A87" s="11" t="s">
        <v>91</v>
      </c>
      <c r="B87" s="12" t="s">
        <v>26</v>
      </c>
      <c r="C87" s="12" t="s">
        <v>19</v>
      </c>
      <c r="D87" s="12" t="s">
        <v>54</v>
      </c>
      <c r="E87" s="12" t="s">
        <v>39</v>
      </c>
      <c r="F87" s="12">
        <v>58</v>
      </c>
      <c r="G87" s="13">
        <v>1450</v>
      </c>
      <c r="H87" s="13">
        <f t="shared" si="2"/>
        <v>84100</v>
      </c>
    </row>
    <row r="88" spans="1:8" x14ac:dyDescent="0.3">
      <c r="A88" s="11" t="s">
        <v>92</v>
      </c>
      <c r="B88" s="12" t="s">
        <v>9</v>
      </c>
      <c r="C88" s="12" t="s">
        <v>30</v>
      </c>
      <c r="D88" s="12" t="s">
        <v>43</v>
      </c>
      <c r="E88" s="12" t="s">
        <v>44</v>
      </c>
      <c r="F88" s="12">
        <v>60</v>
      </c>
      <c r="G88" s="13">
        <v>1800</v>
      </c>
      <c r="H88" s="13">
        <f t="shared" si="2"/>
        <v>108000</v>
      </c>
    </row>
    <row r="89" spans="1:8" x14ac:dyDescent="0.3">
      <c r="A89" s="11" t="s">
        <v>92</v>
      </c>
      <c r="B89" s="12" t="s">
        <v>32</v>
      </c>
      <c r="C89" s="12" t="s">
        <v>33</v>
      </c>
      <c r="D89" s="12" t="s">
        <v>40</v>
      </c>
      <c r="E89" s="12" t="s">
        <v>16</v>
      </c>
      <c r="F89" s="12">
        <v>6</v>
      </c>
      <c r="G89" s="13">
        <v>1650</v>
      </c>
      <c r="H89" s="13">
        <f t="shared" si="2"/>
        <v>9900</v>
      </c>
    </row>
    <row r="90" spans="1:8" x14ac:dyDescent="0.3">
      <c r="A90" s="11" t="s">
        <v>93</v>
      </c>
      <c r="B90" s="12" t="s">
        <v>26</v>
      </c>
      <c r="C90" s="12" t="s">
        <v>14</v>
      </c>
      <c r="D90" s="12" t="s">
        <v>46</v>
      </c>
      <c r="E90" s="12" t="s">
        <v>44</v>
      </c>
      <c r="F90" s="12">
        <v>12</v>
      </c>
      <c r="G90" s="13">
        <v>3200</v>
      </c>
      <c r="H90" s="13">
        <f t="shared" si="2"/>
        <v>38400</v>
      </c>
    </row>
    <row r="91" spans="1:8" x14ac:dyDescent="0.3">
      <c r="A91" s="11" t="s">
        <v>93</v>
      </c>
      <c r="B91" s="12" t="s">
        <v>32</v>
      </c>
      <c r="C91" s="12" t="s">
        <v>22</v>
      </c>
      <c r="D91" s="12" t="s">
        <v>15</v>
      </c>
      <c r="E91" s="12" t="s">
        <v>16</v>
      </c>
      <c r="F91" s="12">
        <v>9</v>
      </c>
      <c r="G91" s="13">
        <v>8000</v>
      </c>
      <c r="H91" s="13">
        <f t="shared" si="2"/>
        <v>72000</v>
      </c>
    </row>
    <row r="92" spans="1:8" x14ac:dyDescent="0.3">
      <c r="A92" s="11" t="s">
        <v>94</v>
      </c>
      <c r="B92" s="12" t="s">
        <v>32</v>
      </c>
      <c r="C92" s="12" t="s">
        <v>49</v>
      </c>
      <c r="D92" s="12" t="s">
        <v>54</v>
      </c>
      <c r="E92" s="12" t="s">
        <v>39</v>
      </c>
      <c r="F92" s="12">
        <v>43</v>
      </c>
      <c r="G92" s="13">
        <v>1450</v>
      </c>
      <c r="H92" s="13">
        <f t="shared" si="2"/>
        <v>62350</v>
      </c>
    </row>
    <row r="93" spans="1:8" x14ac:dyDescent="0.3">
      <c r="A93" s="11" t="s">
        <v>95</v>
      </c>
      <c r="B93" s="12" t="s">
        <v>18</v>
      </c>
      <c r="C93" s="12" t="s">
        <v>56</v>
      </c>
      <c r="D93" s="12" t="s">
        <v>50</v>
      </c>
      <c r="E93" s="12" t="s">
        <v>28</v>
      </c>
      <c r="F93" s="12">
        <v>49</v>
      </c>
      <c r="G93" s="13">
        <v>1350</v>
      </c>
      <c r="H93" s="13">
        <f t="shared" si="2"/>
        <v>66150</v>
      </c>
    </row>
    <row r="94" spans="1:8" x14ac:dyDescent="0.3">
      <c r="A94" s="11" t="s">
        <v>95</v>
      </c>
      <c r="B94" s="12" t="s">
        <v>18</v>
      </c>
      <c r="C94" s="12" t="s">
        <v>33</v>
      </c>
      <c r="D94" s="12" t="s">
        <v>50</v>
      </c>
      <c r="E94" s="12" t="s">
        <v>28</v>
      </c>
      <c r="F94" s="12">
        <v>54</v>
      </c>
      <c r="G94" s="13">
        <v>1350</v>
      </c>
      <c r="H94" s="13">
        <f t="shared" si="2"/>
        <v>72900</v>
      </c>
    </row>
    <row r="95" spans="1:8" x14ac:dyDescent="0.3">
      <c r="A95" s="11" t="s">
        <v>95</v>
      </c>
      <c r="B95" s="12" t="s">
        <v>18</v>
      </c>
      <c r="C95" s="12" t="s">
        <v>49</v>
      </c>
      <c r="D95" s="12" t="s">
        <v>37</v>
      </c>
      <c r="E95" s="12" t="s">
        <v>28</v>
      </c>
      <c r="F95" s="12">
        <v>14</v>
      </c>
      <c r="G95" s="13">
        <v>85</v>
      </c>
      <c r="H95" s="13">
        <f t="shared" si="2"/>
        <v>1190</v>
      </c>
    </row>
    <row r="96" spans="1:8" x14ac:dyDescent="0.3">
      <c r="A96" s="11" t="s">
        <v>95</v>
      </c>
      <c r="B96" s="12" t="s">
        <v>26</v>
      </c>
      <c r="C96" s="12" t="s">
        <v>14</v>
      </c>
      <c r="D96" s="12" t="s">
        <v>11</v>
      </c>
      <c r="E96" s="12" t="s">
        <v>12</v>
      </c>
      <c r="F96" s="12">
        <v>29</v>
      </c>
      <c r="G96" s="13">
        <v>1200</v>
      </c>
      <c r="H96" s="13">
        <f t="shared" si="2"/>
        <v>34800</v>
      </c>
    </row>
    <row r="97" spans="1:8" x14ac:dyDescent="0.3">
      <c r="A97" s="11" t="s">
        <v>96</v>
      </c>
      <c r="B97" s="12" t="s">
        <v>26</v>
      </c>
      <c r="C97" s="12" t="s">
        <v>14</v>
      </c>
      <c r="D97" s="12" t="s">
        <v>43</v>
      </c>
      <c r="E97" s="12" t="s">
        <v>44</v>
      </c>
      <c r="F97" s="12">
        <v>19</v>
      </c>
      <c r="G97" s="13">
        <v>1800</v>
      </c>
      <c r="H97" s="13">
        <f t="shared" si="2"/>
        <v>34200</v>
      </c>
    </row>
    <row r="98" spans="1:8" x14ac:dyDescent="0.3">
      <c r="A98" s="11" t="s">
        <v>97</v>
      </c>
      <c r="B98" s="12" t="s">
        <v>26</v>
      </c>
      <c r="C98" s="12" t="s">
        <v>33</v>
      </c>
      <c r="D98" s="12" t="s">
        <v>35</v>
      </c>
      <c r="E98" s="12" t="s">
        <v>28</v>
      </c>
      <c r="F98" s="12">
        <v>6</v>
      </c>
      <c r="G98" s="13">
        <v>4500</v>
      </c>
      <c r="H98" s="13">
        <f t="shared" ref="H98:H129" si="3">F98*G98</f>
        <v>27000</v>
      </c>
    </row>
    <row r="99" spans="1:8" x14ac:dyDescent="0.3">
      <c r="A99" s="11" t="s">
        <v>97</v>
      </c>
      <c r="B99" s="12" t="s">
        <v>13</v>
      </c>
      <c r="C99" s="12" t="s">
        <v>33</v>
      </c>
      <c r="D99" s="12" t="s">
        <v>20</v>
      </c>
      <c r="E99" s="12" t="s">
        <v>16</v>
      </c>
      <c r="F99" s="12">
        <v>45</v>
      </c>
      <c r="G99" s="13">
        <v>2800</v>
      </c>
      <c r="H99" s="13">
        <f t="shared" si="3"/>
        <v>126000</v>
      </c>
    </row>
    <row r="100" spans="1:8" x14ac:dyDescent="0.3">
      <c r="A100" s="11" t="s">
        <v>98</v>
      </c>
      <c r="B100" s="12" t="s">
        <v>18</v>
      </c>
      <c r="C100" s="12" t="s">
        <v>53</v>
      </c>
      <c r="D100" s="12" t="s">
        <v>38</v>
      </c>
      <c r="E100" s="12" t="s">
        <v>39</v>
      </c>
      <c r="F100" s="12">
        <v>27</v>
      </c>
      <c r="G100" s="13">
        <v>150</v>
      </c>
      <c r="H100" s="13">
        <f t="shared" si="3"/>
        <v>4050</v>
      </c>
    </row>
    <row r="101" spans="1:8" x14ac:dyDescent="0.3">
      <c r="A101" s="11" t="s">
        <v>99</v>
      </c>
      <c r="B101" s="12" t="s">
        <v>32</v>
      </c>
      <c r="C101" s="12" t="s">
        <v>10</v>
      </c>
      <c r="D101" s="12" t="s">
        <v>43</v>
      </c>
      <c r="E101" s="12" t="s">
        <v>44</v>
      </c>
      <c r="F101" s="12">
        <v>44</v>
      </c>
      <c r="G101" s="13">
        <v>1800</v>
      </c>
      <c r="H101" s="13">
        <f t="shared" si="3"/>
        <v>79200</v>
      </c>
    </row>
    <row r="102" spans="1:8" x14ac:dyDescent="0.3">
      <c r="A102" s="11" t="s">
        <v>100</v>
      </c>
      <c r="B102" s="12" t="s">
        <v>9</v>
      </c>
      <c r="C102" s="12" t="s">
        <v>10</v>
      </c>
      <c r="D102" s="12" t="s">
        <v>43</v>
      </c>
      <c r="E102" s="12" t="s">
        <v>44</v>
      </c>
      <c r="F102" s="12">
        <v>46</v>
      </c>
      <c r="G102" s="13">
        <v>1800</v>
      </c>
      <c r="H102" s="13">
        <f t="shared" si="3"/>
        <v>82800</v>
      </c>
    </row>
    <row r="103" spans="1:8" x14ac:dyDescent="0.3">
      <c r="A103" s="11" t="s">
        <v>101</v>
      </c>
      <c r="B103" s="12" t="s">
        <v>18</v>
      </c>
      <c r="C103" s="12" t="s">
        <v>33</v>
      </c>
      <c r="D103" s="12" t="s">
        <v>15</v>
      </c>
      <c r="E103" s="12" t="s">
        <v>16</v>
      </c>
      <c r="F103" s="12">
        <v>16</v>
      </c>
      <c r="G103" s="13">
        <v>8000</v>
      </c>
      <c r="H103" s="13">
        <f t="shared" si="3"/>
        <v>128000</v>
      </c>
    </row>
    <row r="104" spans="1:8" x14ac:dyDescent="0.3">
      <c r="A104" s="11" t="s">
        <v>101</v>
      </c>
      <c r="B104" s="12" t="s">
        <v>13</v>
      </c>
      <c r="C104" s="12" t="s">
        <v>14</v>
      </c>
      <c r="D104" s="12" t="s">
        <v>47</v>
      </c>
      <c r="E104" s="12" t="s">
        <v>16</v>
      </c>
      <c r="F104" s="12">
        <v>23</v>
      </c>
      <c r="G104" s="13">
        <v>2200</v>
      </c>
      <c r="H104" s="13">
        <f t="shared" si="3"/>
        <v>50600</v>
      </c>
    </row>
    <row r="105" spans="1:8" x14ac:dyDescent="0.3">
      <c r="A105" s="11" t="s">
        <v>101</v>
      </c>
      <c r="B105" s="12" t="s">
        <v>9</v>
      </c>
      <c r="C105" s="12" t="s">
        <v>19</v>
      </c>
      <c r="D105" s="12" t="s">
        <v>34</v>
      </c>
      <c r="E105" s="12" t="s">
        <v>12</v>
      </c>
      <c r="F105" s="12">
        <v>54</v>
      </c>
      <c r="G105" s="13">
        <v>3500</v>
      </c>
      <c r="H105" s="13">
        <f t="shared" si="3"/>
        <v>189000</v>
      </c>
    </row>
    <row r="106" spans="1:8" x14ac:dyDescent="0.3">
      <c r="A106" s="11" t="s">
        <v>101</v>
      </c>
      <c r="B106" s="12" t="s">
        <v>9</v>
      </c>
      <c r="C106" s="12" t="s">
        <v>53</v>
      </c>
      <c r="D106" s="12" t="s">
        <v>43</v>
      </c>
      <c r="E106" s="12" t="s">
        <v>44</v>
      </c>
      <c r="F106" s="12">
        <v>10</v>
      </c>
      <c r="G106" s="13">
        <v>1800</v>
      </c>
      <c r="H106" s="13">
        <f t="shared" si="3"/>
        <v>18000</v>
      </c>
    </row>
    <row r="107" spans="1:8" x14ac:dyDescent="0.3">
      <c r="A107" s="11" t="s">
        <v>101</v>
      </c>
      <c r="B107" s="12" t="s">
        <v>13</v>
      </c>
      <c r="C107" s="12" t="s">
        <v>22</v>
      </c>
      <c r="D107" s="12" t="s">
        <v>11</v>
      </c>
      <c r="E107" s="12" t="s">
        <v>12</v>
      </c>
      <c r="F107" s="12">
        <v>17</v>
      </c>
      <c r="G107" s="13">
        <v>1200</v>
      </c>
      <c r="H107" s="13">
        <f t="shared" si="3"/>
        <v>20400</v>
      </c>
    </row>
    <row r="108" spans="1:8" x14ac:dyDescent="0.3">
      <c r="A108" s="11" t="s">
        <v>101</v>
      </c>
      <c r="B108" s="12" t="s">
        <v>9</v>
      </c>
      <c r="C108" s="12" t="s">
        <v>10</v>
      </c>
      <c r="D108" s="12" t="s">
        <v>38</v>
      </c>
      <c r="E108" s="12" t="s">
        <v>39</v>
      </c>
      <c r="F108" s="12">
        <v>53</v>
      </c>
      <c r="G108" s="13">
        <v>150</v>
      </c>
      <c r="H108" s="13">
        <f t="shared" si="3"/>
        <v>7950</v>
      </c>
    </row>
    <row r="109" spans="1:8" x14ac:dyDescent="0.3">
      <c r="A109" s="11" t="s">
        <v>102</v>
      </c>
      <c r="B109" s="12" t="s">
        <v>26</v>
      </c>
      <c r="C109" s="12" t="s">
        <v>30</v>
      </c>
      <c r="D109" s="12" t="s">
        <v>84</v>
      </c>
      <c r="E109" s="12" t="s">
        <v>28</v>
      </c>
      <c r="F109" s="12">
        <v>10</v>
      </c>
      <c r="G109" s="13">
        <v>15000</v>
      </c>
      <c r="H109" s="13">
        <f t="shared" si="3"/>
        <v>150000</v>
      </c>
    </row>
    <row r="110" spans="1:8" x14ac:dyDescent="0.3">
      <c r="A110" s="11" t="s">
        <v>102</v>
      </c>
      <c r="B110" s="12" t="s">
        <v>13</v>
      </c>
      <c r="C110" s="12" t="s">
        <v>42</v>
      </c>
      <c r="D110" s="12" t="s">
        <v>40</v>
      </c>
      <c r="E110" s="12" t="s">
        <v>16</v>
      </c>
      <c r="F110" s="12">
        <v>29</v>
      </c>
      <c r="G110" s="13">
        <v>1650</v>
      </c>
      <c r="H110" s="13">
        <f t="shared" si="3"/>
        <v>47850</v>
      </c>
    </row>
    <row r="111" spans="1:8" x14ac:dyDescent="0.3">
      <c r="A111" s="11" t="s">
        <v>102</v>
      </c>
      <c r="B111" s="12" t="s">
        <v>9</v>
      </c>
      <c r="C111" s="12" t="s">
        <v>33</v>
      </c>
      <c r="D111" s="12" t="s">
        <v>50</v>
      </c>
      <c r="E111" s="12" t="s">
        <v>28</v>
      </c>
      <c r="F111" s="12">
        <v>20</v>
      </c>
      <c r="G111" s="13">
        <v>1350</v>
      </c>
      <c r="H111" s="13">
        <f t="shared" si="3"/>
        <v>27000</v>
      </c>
    </row>
    <row r="112" spans="1:8" x14ac:dyDescent="0.3">
      <c r="A112" s="11" t="s">
        <v>103</v>
      </c>
      <c r="B112" s="12" t="s">
        <v>26</v>
      </c>
      <c r="C112" s="12" t="s">
        <v>22</v>
      </c>
      <c r="D112" s="12" t="s">
        <v>20</v>
      </c>
      <c r="E112" s="12" t="s">
        <v>16</v>
      </c>
      <c r="F112" s="12">
        <v>17</v>
      </c>
      <c r="G112" s="13">
        <v>2800</v>
      </c>
      <c r="H112" s="13">
        <f t="shared" si="3"/>
        <v>47600</v>
      </c>
    </row>
    <row r="113" spans="1:8" x14ac:dyDescent="0.3">
      <c r="A113" s="11" t="s">
        <v>103</v>
      </c>
      <c r="B113" s="12" t="s">
        <v>26</v>
      </c>
      <c r="C113" s="12" t="s">
        <v>10</v>
      </c>
      <c r="D113" s="12" t="s">
        <v>46</v>
      </c>
      <c r="E113" s="12" t="s">
        <v>44</v>
      </c>
      <c r="F113" s="12">
        <v>27</v>
      </c>
      <c r="G113" s="13">
        <v>3200</v>
      </c>
      <c r="H113" s="13">
        <f t="shared" si="3"/>
        <v>86400</v>
      </c>
    </row>
    <row r="114" spans="1:8" x14ac:dyDescent="0.3">
      <c r="A114" s="11" t="s">
        <v>103</v>
      </c>
      <c r="B114" s="12" t="s">
        <v>9</v>
      </c>
      <c r="C114" s="12" t="s">
        <v>53</v>
      </c>
      <c r="D114" s="12" t="s">
        <v>40</v>
      </c>
      <c r="E114" s="12" t="s">
        <v>16</v>
      </c>
      <c r="F114" s="12">
        <v>21</v>
      </c>
      <c r="G114" s="13">
        <v>1650</v>
      </c>
      <c r="H114" s="13">
        <f t="shared" si="3"/>
        <v>34650</v>
      </c>
    </row>
    <row r="115" spans="1:8" x14ac:dyDescent="0.3">
      <c r="A115" s="11" t="s">
        <v>103</v>
      </c>
      <c r="B115" s="12" t="s">
        <v>18</v>
      </c>
      <c r="C115" s="12" t="s">
        <v>14</v>
      </c>
      <c r="D115" s="12" t="s">
        <v>15</v>
      </c>
      <c r="E115" s="12" t="s">
        <v>16</v>
      </c>
      <c r="F115" s="12">
        <v>8</v>
      </c>
      <c r="G115" s="13">
        <v>8000</v>
      </c>
      <c r="H115" s="13">
        <f t="shared" si="3"/>
        <v>64000</v>
      </c>
    </row>
    <row r="116" spans="1:8" x14ac:dyDescent="0.3">
      <c r="A116" s="11" t="s">
        <v>104</v>
      </c>
      <c r="B116" s="12" t="s">
        <v>32</v>
      </c>
      <c r="C116" s="12" t="s">
        <v>10</v>
      </c>
      <c r="D116" s="12" t="s">
        <v>46</v>
      </c>
      <c r="E116" s="12" t="s">
        <v>44</v>
      </c>
      <c r="F116" s="12">
        <v>5</v>
      </c>
      <c r="G116" s="13">
        <v>3200</v>
      </c>
      <c r="H116" s="13">
        <f t="shared" si="3"/>
        <v>16000</v>
      </c>
    </row>
    <row r="117" spans="1:8" x14ac:dyDescent="0.3">
      <c r="A117" s="11" t="s">
        <v>104</v>
      </c>
      <c r="B117" s="12" t="s">
        <v>13</v>
      </c>
      <c r="C117" s="12" t="s">
        <v>53</v>
      </c>
      <c r="D117" s="12" t="s">
        <v>34</v>
      </c>
      <c r="E117" s="12" t="s">
        <v>12</v>
      </c>
      <c r="F117" s="12">
        <v>43</v>
      </c>
      <c r="G117" s="13">
        <v>3500</v>
      </c>
      <c r="H117" s="13">
        <f t="shared" si="3"/>
        <v>150500</v>
      </c>
    </row>
    <row r="118" spans="1:8" x14ac:dyDescent="0.3">
      <c r="A118" s="11" t="s">
        <v>105</v>
      </c>
      <c r="B118" s="12" t="s">
        <v>9</v>
      </c>
      <c r="C118" s="12" t="s">
        <v>10</v>
      </c>
      <c r="D118" s="12" t="s">
        <v>35</v>
      </c>
      <c r="E118" s="12" t="s">
        <v>28</v>
      </c>
      <c r="F118" s="12">
        <v>8</v>
      </c>
      <c r="G118" s="13">
        <v>4500</v>
      </c>
      <c r="H118" s="13">
        <f t="shared" si="3"/>
        <v>36000</v>
      </c>
    </row>
    <row r="119" spans="1:8" x14ac:dyDescent="0.3">
      <c r="A119" s="11" t="s">
        <v>106</v>
      </c>
      <c r="B119" s="12" t="s">
        <v>26</v>
      </c>
      <c r="C119" s="12" t="s">
        <v>53</v>
      </c>
      <c r="D119" s="12" t="s">
        <v>38</v>
      </c>
      <c r="E119" s="12" t="s">
        <v>39</v>
      </c>
      <c r="F119" s="12">
        <v>25</v>
      </c>
      <c r="G119" s="13">
        <v>150</v>
      </c>
      <c r="H119" s="13">
        <f t="shared" si="3"/>
        <v>3750</v>
      </c>
    </row>
    <row r="120" spans="1:8" x14ac:dyDescent="0.3">
      <c r="A120" s="11" t="s">
        <v>107</v>
      </c>
      <c r="B120" s="12" t="s">
        <v>18</v>
      </c>
      <c r="C120" s="12" t="s">
        <v>30</v>
      </c>
      <c r="D120" s="12" t="s">
        <v>61</v>
      </c>
      <c r="E120" s="12" t="s">
        <v>39</v>
      </c>
      <c r="F120" s="12">
        <v>55</v>
      </c>
      <c r="G120" s="13">
        <v>32000</v>
      </c>
      <c r="H120" s="13">
        <f t="shared" si="3"/>
        <v>1760000</v>
      </c>
    </row>
    <row r="121" spans="1:8" x14ac:dyDescent="0.3">
      <c r="A121" s="11" t="s">
        <v>107</v>
      </c>
      <c r="B121" s="12" t="s">
        <v>26</v>
      </c>
      <c r="C121" s="12" t="s">
        <v>42</v>
      </c>
      <c r="D121" s="12" t="s">
        <v>54</v>
      </c>
      <c r="E121" s="12" t="s">
        <v>39</v>
      </c>
      <c r="F121" s="12">
        <v>16</v>
      </c>
      <c r="G121" s="13">
        <v>1450</v>
      </c>
      <c r="H121" s="13">
        <f t="shared" si="3"/>
        <v>23200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tabSelected="1" zoomScale="90" zoomScaleNormal="90" workbookViewId="0">
      <selection activeCell="A2" sqref="A2:XFD2"/>
    </sheetView>
  </sheetViews>
  <sheetFormatPr defaultColWidth="8.6640625" defaultRowHeight="14.4" x14ac:dyDescent="0.3"/>
  <cols>
    <col min="1" max="1" width="16" customWidth="1"/>
    <col min="2" max="2" width="27.6640625" customWidth="1"/>
    <col min="3" max="3" width="28.109375" customWidth="1"/>
    <col min="4" max="4" width="16" customWidth="1"/>
    <col min="5" max="5" width="14" customWidth="1"/>
    <col min="6" max="6" width="41.88671875" customWidth="1"/>
    <col min="7" max="7" width="12" customWidth="1"/>
    <col min="8" max="8" width="14" customWidth="1"/>
    <col min="9" max="9" width="10.5546875" customWidth="1"/>
    <col min="10" max="10" width="12" customWidth="1"/>
    <col min="11" max="11" width="12.109375" customWidth="1"/>
    <col min="14" max="14" width="6.5546875" customWidth="1"/>
    <col min="15" max="15" width="16.6640625" customWidth="1"/>
    <col min="16" max="16" width="15.77734375" customWidth="1"/>
  </cols>
  <sheetData>
    <row r="1" spans="1:11" ht="21" x14ac:dyDescent="0.4">
      <c r="A1" s="9" t="s">
        <v>108</v>
      </c>
      <c r="B1" s="9"/>
      <c r="C1" s="9"/>
      <c r="D1" s="9"/>
      <c r="E1" s="9"/>
      <c r="F1" s="9"/>
      <c r="G1" s="9"/>
      <c r="H1" s="9"/>
      <c r="I1" s="9"/>
      <c r="J1" s="9"/>
    </row>
    <row r="3" spans="1:11" x14ac:dyDescent="0.3">
      <c r="A3" s="8" t="s">
        <v>109</v>
      </c>
      <c r="B3" s="8"/>
      <c r="D3" s="7" t="s">
        <v>110</v>
      </c>
      <c r="E3" s="7"/>
      <c r="G3" s="6" t="s">
        <v>111</v>
      </c>
      <c r="H3" s="6"/>
      <c r="J3" s="5" t="s">
        <v>112</v>
      </c>
      <c r="K3" s="5"/>
    </row>
    <row r="4" spans="1:11" x14ac:dyDescent="0.3">
      <c r="A4" s="4">
        <f>SUM('Raw Data'!H2:H121)</f>
        <v>13401085</v>
      </c>
      <c r="B4" s="4"/>
      <c r="D4" s="3">
        <f>COUNTA('Raw Data'!A2:A121)</f>
        <v>120</v>
      </c>
      <c r="E4" s="3"/>
      <c r="G4" s="2">
        <f>SUM('Raw Data'!F2:F121)</f>
        <v>3459</v>
      </c>
      <c r="H4" s="2"/>
      <c r="J4" s="1">
        <f>IFERROR(A4/D4,0)</f>
        <v>111675.70833333333</v>
      </c>
      <c r="K4" s="1"/>
    </row>
    <row r="5" spans="1:11" x14ac:dyDescent="0.3">
      <c r="A5" s="4"/>
      <c r="B5" s="4"/>
      <c r="D5" s="3"/>
      <c r="E5" s="3"/>
      <c r="G5" s="2"/>
      <c r="H5" s="2"/>
      <c r="J5" s="1"/>
      <c r="K5" s="1"/>
    </row>
    <row r="8" spans="1:11" ht="16.8" x14ac:dyDescent="0.3">
      <c r="A8" s="14" t="s">
        <v>113</v>
      </c>
      <c r="D8" s="14" t="s">
        <v>114</v>
      </c>
      <c r="G8" s="14" t="s">
        <v>115</v>
      </c>
    </row>
    <row r="9" spans="1:11" x14ac:dyDescent="0.3">
      <c r="A9" s="15" t="s">
        <v>1</v>
      </c>
      <c r="B9" s="15" t="s">
        <v>116</v>
      </c>
      <c r="D9" s="15" t="s">
        <v>4</v>
      </c>
      <c r="E9" s="15" t="s">
        <v>116</v>
      </c>
      <c r="G9" s="15" t="s">
        <v>117</v>
      </c>
      <c r="H9" s="15" t="s">
        <v>116</v>
      </c>
    </row>
    <row r="10" spans="1:11" x14ac:dyDescent="0.3">
      <c r="A10" s="16" t="s">
        <v>18</v>
      </c>
      <c r="B10" s="17">
        <f>SUMIF('Raw Data'!B:B,A10,'Raw Data'!H:H)</f>
        <v>4996140</v>
      </c>
      <c r="D10" s="16" t="s">
        <v>39</v>
      </c>
      <c r="E10" s="17">
        <f>SUMIF('Raw Data'!E:E,D10,'Raw Data'!H:H)</f>
        <v>4570500</v>
      </c>
      <c r="G10" s="16" t="s">
        <v>118</v>
      </c>
      <c r="H10" s="17">
        <f>SUMPRODUCT((MONTH('Raw Data'!$A$2:$A$121)=1)*('Raw Data'!$H$2:$H$121))</f>
        <v>5314315</v>
      </c>
    </row>
    <row r="11" spans="1:11" x14ac:dyDescent="0.3">
      <c r="A11" s="16" t="s">
        <v>32</v>
      </c>
      <c r="B11" s="17">
        <f>SUMIF('Raw Data'!B:B,A11,'Raw Data'!H:H)</f>
        <v>2114450</v>
      </c>
      <c r="D11" s="16" t="s">
        <v>16</v>
      </c>
      <c r="E11" s="17">
        <f>SUMIF('Raw Data'!E:E,D11,'Raw Data'!H:H)</f>
        <v>4216300</v>
      </c>
      <c r="G11" s="16" t="s">
        <v>119</v>
      </c>
      <c r="H11" s="17">
        <f>SUMPRODUCT((MONTH('Raw Data'!$A$2:$A$121)=2)*('Raw Data'!$H$2:$H$121))</f>
        <v>2911880</v>
      </c>
    </row>
    <row r="12" spans="1:11" x14ac:dyDescent="0.3">
      <c r="A12" s="16" t="s">
        <v>13</v>
      </c>
      <c r="B12" s="17">
        <f>SUMIF('Raw Data'!B:B,A12,'Raw Data'!H:H)</f>
        <v>1556645</v>
      </c>
      <c r="D12" s="16" t="s">
        <v>28</v>
      </c>
      <c r="E12" s="17">
        <f>SUMIF('Raw Data'!E:E,D12,'Raw Data'!H:H)</f>
        <v>1726585</v>
      </c>
      <c r="G12" s="16" t="s">
        <v>120</v>
      </c>
      <c r="H12" s="17">
        <f>SUMPRODUCT((MONTH('Raw Data'!$A$2:$A$121)=3)*('Raw Data'!$H$2:$H$121))</f>
        <v>5174890</v>
      </c>
    </row>
    <row r="13" spans="1:11" x14ac:dyDescent="0.3">
      <c r="A13" s="16" t="s">
        <v>26</v>
      </c>
      <c r="B13" s="17">
        <f>SUMIF('Raw Data'!B:B,A13,'Raw Data'!H:H)</f>
        <v>1775000</v>
      </c>
      <c r="D13" s="16" t="s">
        <v>12</v>
      </c>
      <c r="E13" s="17">
        <f>SUMIF('Raw Data'!E:E,D13,'Raw Data'!H:H)</f>
        <v>1106100</v>
      </c>
    </row>
    <row r="14" spans="1:11" x14ac:dyDescent="0.3">
      <c r="A14" s="16" t="s">
        <v>9</v>
      </c>
      <c r="B14" s="17">
        <f>SUMIF('Raw Data'!B:B,A14,'Raw Data'!H:H)</f>
        <v>2958850</v>
      </c>
      <c r="D14" s="16" t="s">
        <v>44</v>
      </c>
      <c r="E14" s="17">
        <f>SUMIF('Raw Data'!E:E,D14,'Raw Data'!H:H)</f>
        <v>1781600</v>
      </c>
    </row>
  </sheetData>
  <mergeCells count="9">
    <mergeCell ref="A4:B5"/>
    <mergeCell ref="D4:E5"/>
    <mergeCell ref="G4:H5"/>
    <mergeCell ref="J4:K5"/>
    <mergeCell ref="A1:J1"/>
    <mergeCell ref="A3:B3"/>
    <mergeCell ref="D3:E3"/>
    <mergeCell ref="G3:H3"/>
    <mergeCell ref="J3:K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hp-Corei5</cp:lastModifiedBy>
  <cp:revision>1</cp:revision>
  <dcterms:created xsi:type="dcterms:W3CDTF">2026-09-02T01:39:33Z</dcterms:created>
  <dcterms:modified xsi:type="dcterms:W3CDTF">2026-09-02T01:57:41Z</dcterms:modified>
  <dc:language>en-US</dc:language>
</cp:coreProperties>
</file>